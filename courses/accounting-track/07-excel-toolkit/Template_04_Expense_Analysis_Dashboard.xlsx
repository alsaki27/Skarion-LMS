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Expense_Data" sheetId="2" state="visible" r:id="rId2"/>
    <sheet xmlns:r="http://schemas.openxmlformats.org/officeDocument/2006/relationships" name="Dashboard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;-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F4E78"/>
      <sz val="11"/>
    </font>
    <font>
      <name val="Carlito"/>
      <b val="1"/>
      <color rgb="FFFFFFFF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2">
    <border/>
    <border/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top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165" fontId="4" fillId="6" borderId="0" pivotButton="0" quotePrefix="0" xfId="0"/>
    <xf numFmtId="165" fontId="4" fillId="6" borderId="1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165" fontId="4" fillId="6" borderId="0" pivotButton="0" quotePrefix="0" xfId="0"/>
  </cellXfs>
  <cellStyles count="1">
    <cellStyle name="Normal" xfId="0"/>
  </cellStyles>
  <dxfs count="1">
    <dxf>
      <font>
        <b val="1"/>
        <color rgb="FF9C0006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cat>
            <strRef>
              <f>'Dashboard'!$A$12:$A$24</f>
              <strCache>
                <ptCount val="0"/>
              </strCache>
            </strRef>
          </cat>
          <val>
            <numRef>
              <f>'Dashboard'!$E$12:$E$24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cat>
            <strRef>
              <f>'Dashboard'!$B$11:$D$11</f>
              <strCache>
                <ptCount val="0"/>
              </strCache>
            </strRef>
          </cat>
          <val>
            <numRef>
              <f>'Dashboard'!$B$25:$D$25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 by Vendor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'Dashboard'!$G$12:$G$27</f>
            </numRef>
          </cat>
          <val>
            <numRef>
              <f>'Dashboard'!$H$12:$H$27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21</row>
      <rowOff>0</rowOff>
    </from>
    <to>
      <col>17</col>
      <colOff>0</colOff>
      <row>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9</col>
      <colOff>0</colOff>
      <row>10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DataTable" displayName="ExpenseDataTable" ref="A4:I49" headerRowCount="1">
  <tableColumns count="9">
    <tableColumn id="1" name="Date"/>
    <tableColumn id="2" name="Month"/>
    <tableColumn id="3" name="Vendor"/>
    <tableColumn id="4" name="Category"/>
    <tableColumn id="5" name="Payment Method"/>
    <tableColumn id="6" name="Department"/>
    <tableColumn id="7" name="Amount"/>
    <tableColumn id="8" name="Memo"/>
    <tableColumn id="9" name="Review Fla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9" t="inlineStr">
        <is>
          <t>Expense Analysis Dashboard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7" t="inlineStr">
        <is>
          <t>Template for summarizing operating expenses by category, vendor, and month with chart visuals.</t>
        </is>
      </c>
      <c r="B2" s="1" t="n"/>
      <c r="C2" s="1" t="n"/>
      <c r="D2" s="1" t="n"/>
      <c r="E2" s="1" t="n"/>
      <c r="F2" s="1" t="n"/>
      <c r="G2" s="1" t="n"/>
    </row>
    <row r="4" ht="24" customHeight="1">
      <c r="A4" s="22" t="inlineStr">
        <is>
          <t>Section</t>
        </is>
      </c>
      <c r="B4" s="22" t="inlineStr">
        <is>
          <t>Details</t>
        </is>
      </c>
    </row>
    <row r="5">
      <c r="A5" s="30" t="inlineStr">
        <is>
          <t>Purpose</t>
        </is>
      </c>
      <c r="B5" s="35" t="inlineStr">
        <is>
          <t>Template for summarizing operating expenses by category, vendor, and month with chart visuals.</t>
        </is>
      </c>
    </row>
    <row r="6">
      <c r="A6" s="30" t="inlineStr">
        <is>
          <t>How to Use</t>
        </is>
      </c>
      <c r="B6" s="35" t="inlineStr">
        <is>
          <t>1. Paste expense transactions into Expense_Data.
2. Review Dashboard KPI cells for total expenses and largest categories.
3. Use the category-month summary as a pivot-style expense view.
4. Review the vendor summary to identify heavy spend vendors.
5. Use filters in the Expense_Data table for detailed review.</t>
        </is>
      </c>
    </row>
    <row r="7">
      <c r="A7" s="30" t="inlineStr">
        <is>
          <t>Expected Output</t>
        </is>
      </c>
      <c r="B7" s="35" t="inlineStr">
        <is>
          <t>• Expense totals by month
• Expense totals by category
• Vendor spend summary
• Charts for management reporting</t>
        </is>
      </c>
    </row>
    <row r="8">
      <c r="A8" s="30" t="inlineStr">
        <is>
          <t>Student Rule</t>
        </is>
      </c>
      <c r="B8" s="35" t="inlineStr">
        <is>
          <t>Use the sample data first. Then replace the sample rows with your assigned company data. Do not overwrite formula cells unless your instructor tells you to.</t>
        </is>
      </c>
    </row>
    <row r="9">
      <c r="A9" s="30" t="inlineStr">
        <is>
          <t>Skarion Simulation</t>
        </is>
      </c>
      <c r="B9" s="35" t="inlineStr">
        <is>
          <t>These templates support the Skarion Manufacturing LLC accounting job simulation and can be used as student handouts.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  <col width="16" customWidth="1" min="5" max="5"/>
    <col width="16" customWidth="1" min="6" max="6"/>
    <col width="14" customWidth="1" min="7" max="7"/>
    <col width="38" customWidth="1" min="8" max="8"/>
    <col width="18" customWidth="1" min="9" max="9"/>
  </cols>
  <sheetData>
    <row r="1" ht="28" customHeight="1">
      <c r="A1" s="9" t="inlineStr">
        <is>
          <t>Expense Data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7" t="inlineStr">
        <is>
          <t>Sample operating expense transactions. Replace rows as needed.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4" ht="24" customHeight="1">
      <c r="A4" s="22" t="inlineStr">
        <is>
          <t>Date</t>
        </is>
      </c>
      <c r="B4" s="22" t="inlineStr">
        <is>
          <t>Month</t>
        </is>
      </c>
      <c r="C4" s="22" t="inlineStr">
        <is>
          <t>Vendor</t>
        </is>
      </c>
      <c r="D4" s="22" t="inlineStr">
        <is>
          <t>Category</t>
        </is>
      </c>
      <c r="E4" s="22" t="inlineStr">
        <is>
          <t>Payment Method</t>
        </is>
      </c>
      <c r="F4" s="22" t="inlineStr">
        <is>
          <t>Department</t>
        </is>
      </c>
      <c r="G4" s="22" t="inlineStr">
        <is>
          <t>Amount</t>
        </is>
      </c>
      <c r="H4" s="22" t="inlineStr">
        <is>
          <t>Memo</t>
        </is>
      </c>
      <c r="I4" s="22" t="inlineStr">
        <is>
          <t>Review Flag</t>
        </is>
      </c>
    </row>
    <row r="5">
      <c r="A5" s="52" t="n">
        <v>46024</v>
      </c>
      <c r="B5" s="34">
        <f>TEXT(A5,"mmm yyyy")</f>
        <v/>
      </c>
      <c r="C5" s="34" t="inlineStr">
        <is>
          <t>Virginia Office Supply</t>
        </is>
      </c>
      <c r="D5" s="34" t="inlineStr">
        <is>
          <t>Office Supplies</t>
        </is>
      </c>
      <c r="E5" s="34" t="inlineStr">
        <is>
          <t>Credit Card</t>
        </is>
      </c>
      <c r="F5" s="34" t="inlineStr">
        <is>
          <t>Admin</t>
        </is>
      </c>
      <c r="G5" s="53" t="n">
        <v>312.4</v>
      </c>
      <c r="H5" s="34" t="inlineStr">
        <is>
          <t>Printer paper and toner</t>
        </is>
      </c>
      <c r="I5" s="34">
        <f>IF(G5&gt;2000,"Review &gt; $2,000","")</f>
        <v/>
      </c>
    </row>
    <row r="6">
      <c r="A6" s="52" t="n">
        <v>46025</v>
      </c>
      <c r="B6" s="34">
        <f>TEXT(A6,"mmm yyyy")</f>
        <v/>
      </c>
      <c r="C6" s="34" t="inlineStr">
        <is>
          <t>Dominion Energy</t>
        </is>
      </c>
      <c r="D6" s="34" t="inlineStr">
        <is>
          <t>Utilities</t>
        </is>
      </c>
      <c r="E6" s="34" t="inlineStr">
        <is>
          <t>ACH</t>
        </is>
      </c>
      <c r="F6" s="34" t="inlineStr">
        <is>
          <t>Operations</t>
        </is>
      </c>
      <c r="G6" s="53" t="n">
        <v>1280.75</v>
      </c>
      <c r="H6" s="34" t="inlineStr">
        <is>
          <t>Electricity</t>
        </is>
      </c>
      <c r="I6" s="34">
        <f>IF(G6&gt;2000,"Review &gt; $2,000","")</f>
        <v/>
      </c>
    </row>
    <row r="7">
      <c r="A7" s="52" t="n">
        <v>46027</v>
      </c>
      <c r="B7" s="34">
        <f>TEXT(A7,"mmm yyyy")</f>
        <v/>
      </c>
      <c r="C7" s="34" t="inlineStr">
        <is>
          <t>Fairfax Industrial Park</t>
        </is>
      </c>
      <c r="D7" s="34" t="inlineStr">
        <is>
          <t>Rent</t>
        </is>
      </c>
      <c r="E7" s="34" t="inlineStr">
        <is>
          <t>ACH</t>
        </is>
      </c>
      <c r="F7" s="34" t="inlineStr">
        <is>
          <t>Operations</t>
        </is>
      </c>
      <c r="G7" s="53" t="n">
        <v>8750</v>
      </c>
      <c r="H7" s="34" t="inlineStr">
        <is>
          <t>Monthly rent</t>
        </is>
      </c>
      <c r="I7" s="34">
        <f>IF(G7&gt;2000,"Review &gt; $2,000","")</f>
        <v/>
      </c>
    </row>
    <row r="8">
      <c r="A8" s="52" t="n">
        <v>46028</v>
      </c>
      <c r="B8" s="34">
        <f>TEXT(A8,"mmm yyyy")</f>
        <v/>
      </c>
      <c r="C8" s="34" t="inlineStr">
        <is>
          <t>QuickBooks Payroll</t>
        </is>
      </c>
      <c r="D8" s="34" t="inlineStr">
        <is>
          <t>Software</t>
        </is>
      </c>
      <c r="E8" s="34" t="inlineStr">
        <is>
          <t>ACH</t>
        </is>
      </c>
      <c r="F8" s="34" t="inlineStr">
        <is>
          <t>Accounting</t>
        </is>
      </c>
      <c r="G8" s="53" t="n">
        <v>348</v>
      </c>
      <c r="H8" s="34" t="inlineStr">
        <is>
          <t>Payroll subscription</t>
        </is>
      </c>
      <c r="I8" s="34">
        <f>IF(G8&gt;2000,"Review &gt; $2,000","")</f>
        <v/>
      </c>
    </row>
    <row r="9">
      <c r="A9" s="52" t="n">
        <v>46030</v>
      </c>
      <c r="B9" s="34">
        <f>TEXT(A9,"mmm yyyy")</f>
        <v/>
      </c>
      <c r="C9" s="34" t="inlineStr">
        <is>
          <t>DataSafe Cloud Backup</t>
        </is>
      </c>
      <c r="D9" s="34" t="inlineStr">
        <is>
          <t>Software</t>
        </is>
      </c>
      <c r="E9" s="34" t="inlineStr">
        <is>
          <t>Credit Card</t>
        </is>
      </c>
      <c r="F9" s="34" t="inlineStr">
        <is>
          <t>IT</t>
        </is>
      </c>
      <c r="G9" s="53" t="n">
        <v>425</v>
      </c>
      <c r="H9" s="34" t="inlineStr">
        <is>
          <t>Cloud backup</t>
        </is>
      </c>
      <c r="I9" s="34">
        <f>IF(G9&gt;2000,"Review &gt; $2,000","")</f>
        <v/>
      </c>
    </row>
    <row r="10">
      <c r="A10" s="52" t="n">
        <v>46031</v>
      </c>
      <c r="B10" s="34">
        <f>TEXT(A10,"mmm yyyy")</f>
        <v/>
      </c>
      <c r="C10" s="34" t="inlineStr">
        <is>
          <t>Ridgeway Freight Services</t>
        </is>
      </c>
      <c r="D10" s="34" t="inlineStr">
        <is>
          <t>Freight</t>
        </is>
      </c>
      <c r="E10" s="34" t="inlineStr">
        <is>
          <t>Check</t>
        </is>
      </c>
      <c r="F10" s="34" t="inlineStr">
        <is>
          <t>Operations</t>
        </is>
      </c>
      <c r="G10" s="53" t="n">
        <v>1885.25</v>
      </c>
      <c r="H10" s="34" t="inlineStr">
        <is>
          <t>Outbound freight</t>
        </is>
      </c>
      <c r="I10" s="34">
        <f>IF(G10&gt;2000,"Review &gt; $2,000","")</f>
        <v/>
      </c>
    </row>
    <row r="11">
      <c r="A11" s="52" t="n">
        <v>46032</v>
      </c>
      <c r="B11" s="34">
        <f>TEXT(A11,"mmm yyyy")</f>
        <v/>
      </c>
      <c r="C11" s="34" t="inlineStr">
        <is>
          <t>Skyline Janitorial</t>
        </is>
      </c>
      <c r="D11" s="34" t="inlineStr">
        <is>
          <t>Facilities</t>
        </is>
      </c>
      <c r="E11" s="34" t="inlineStr">
        <is>
          <t>Check</t>
        </is>
      </c>
      <c r="F11" s="34" t="inlineStr">
        <is>
          <t>Operations</t>
        </is>
      </c>
      <c r="G11" s="53" t="n">
        <v>685</v>
      </c>
      <c r="H11" s="34" t="inlineStr">
        <is>
          <t>Cleaning service</t>
        </is>
      </c>
      <c r="I11" s="34">
        <f>IF(G11&gt;2000,"Review &gt; $2,000","")</f>
        <v/>
      </c>
    </row>
    <row r="12">
      <c r="A12" s="52" t="n">
        <v>46034</v>
      </c>
      <c r="B12" s="34">
        <f>TEXT(A12,"mmm yyyy")</f>
        <v/>
      </c>
      <c r="C12" s="34" t="inlineStr">
        <is>
          <t>SafetyFirst Supplies</t>
        </is>
      </c>
      <c r="D12" s="34" t="inlineStr">
        <is>
          <t>Safety Supplies</t>
        </is>
      </c>
      <c r="E12" s="34" t="inlineStr">
        <is>
          <t>Check</t>
        </is>
      </c>
      <c r="F12" s="34" t="inlineStr">
        <is>
          <t>Operations</t>
        </is>
      </c>
      <c r="G12" s="53" t="n">
        <v>1250</v>
      </c>
      <c r="H12" s="34" t="inlineStr">
        <is>
          <t>Gloves and PPE</t>
        </is>
      </c>
      <c r="I12" s="34">
        <f>IF(G12&gt;2000,"Review &gt; $2,000","")</f>
        <v/>
      </c>
    </row>
    <row r="13">
      <c r="A13" s="52" t="n">
        <v>46037</v>
      </c>
      <c r="B13" s="34">
        <f>TEXT(A13,"mmm yyyy")</f>
        <v/>
      </c>
      <c r="C13" s="34" t="inlineStr">
        <is>
          <t>Hampton Roads Insurance</t>
        </is>
      </c>
      <c r="D13" s="34" t="inlineStr">
        <is>
          <t>Insurance</t>
        </is>
      </c>
      <c r="E13" s="34" t="inlineStr">
        <is>
          <t>ACH</t>
        </is>
      </c>
      <c r="F13" s="34" t="inlineStr">
        <is>
          <t>Admin</t>
        </is>
      </c>
      <c r="G13" s="53" t="n">
        <v>1950</v>
      </c>
      <c r="H13" s="34" t="inlineStr">
        <is>
          <t>General liability premium</t>
        </is>
      </c>
      <c r="I13" s="34">
        <f>IF(G13&gt;2000,"Review &gt; $2,000","")</f>
        <v/>
      </c>
    </row>
    <row r="14">
      <c r="A14" s="52" t="n">
        <v>46040</v>
      </c>
      <c r="B14" s="34">
        <f>TEXT(A14,"mmm yyyy")</f>
        <v/>
      </c>
      <c r="C14" s="34" t="inlineStr">
        <is>
          <t>Richmond Tax Advisors</t>
        </is>
      </c>
      <c r="D14" s="34" t="inlineStr">
        <is>
          <t>Professional Fees</t>
        </is>
      </c>
      <c r="E14" s="34" t="inlineStr">
        <is>
          <t>ACH</t>
        </is>
      </c>
      <c r="F14" s="34" t="inlineStr">
        <is>
          <t>Accounting</t>
        </is>
      </c>
      <c r="G14" s="53" t="n">
        <v>1200</v>
      </c>
      <c r="H14" s="34" t="inlineStr">
        <is>
          <t>Bookkeeping support</t>
        </is>
      </c>
      <c r="I14" s="34">
        <f>IF(G14&gt;2000,"Review &gt; $2,000","")</f>
        <v/>
      </c>
    </row>
    <row r="15">
      <c r="A15" s="52" t="n">
        <v>46042</v>
      </c>
      <c r="B15" s="34">
        <f>TEXT(A15,"mmm yyyy")</f>
        <v/>
      </c>
      <c r="C15" s="34" t="inlineStr">
        <is>
          <t>Microsoft 365</t>
        </is>
      </c>
      <c r="D15" s="34" t="inlineStr">
        <is>
          <t>Software</t>
        </is>
      </c>
      <c r="E15" s="34" t="inlineStr">
        <is>
          <t>Credit Card</t>
        </is>
      </c>
      <c r="F15" s="34" t="inlineStr">
        <is>
          <t>Admin</t>
        </is>
      </c>
      <c r="G15" s="53" t="n">
        <v>265</v>
      </c>
      <c r="H15" s="34" t="inlineStr">
        <is>
          <t>Office subscription</t>
        </is>
      </c>
      <c r="I15" s="34">
        <f>IF(G15&gt;2000,"Review &gt; $2,000","")</f>
        <v/>
      </c>
    </row>
    <row r="16">
      <c r="A16" s="52" t="n">
        <v>46043</v>
      </c>
      <c r="B16" s="34">
        <f>TEXT(A16,"mmm yyyy")</f>
        <v/>
      </c>
      <c r="C16" s="34" t="inlineStr">
        <is>
          <t>FuelFleet Cards</t>
        </is>
      </c>
      <c r="D16" s="34" t="inlineStr">
        <is>
          <t>Vehicle Expense</t>
        </is>
      </c>
      <c r="E16" s="34" t="inlineStr">
        <is>
          <t>Credit Card</t>
        </is>
      </c>
      <c r="F16" s="34" t="inlineStr">
        <is>
          <t>Operations</t>
        </is>
      </c>
      <c r="G16" s="53" t="n">
        <v>540.35</v>
      </c>
      <c r="H16" s="34" t="inlineStr">
        <is>
          <t>Delivery fuel</t>
        </is>
      </c>
      <c r="I16" s="34">
        <f>IF(G16&gt;2000,"Review &gt; $2,000","")</f>
        <v/>
      </c>
    </row>
    <row r="17">
      <c r="A17" s="52" t="n">
        <v>46045</v>
      </c>
      <c r="B17" s="34">
        <f>TEXT(A17,"mmm yyyy")</f>
        <v/>
      </c>
      <c r="C17" s="34" t="inlineStr">
        <is>
          <t>Blue Ridge Maintenance</t>
        </is>
      </c>
      <c r="D17" s="34" t="inlineStr">
        <is>
          <t>Repairs &amp; Maintenance</t>
        </is>
      </c>
      <c r="E17" s="34" t="inlineStr">
        <is>
          <t>Check</t>
        </is>
      </c>
      <c r="F17" s="34" t="inlineStr">
        <is>
          <t>Operations</t>
        </is>
      </c>
      <c r="G17" s="53" t="n">
        <v>940</v>
      </c>
      <c r="H17" s="34" t="inlineStr">
        <is>
          <t>Machine tune-up</t>
        </is>
      </c>
      <c r="I17" s="34">
        <f>IF(G17&gt;2000,"Review &gt; $2,000","")</f>
        <v/>
      </c>
    </row>
    <row r="18">
      <c r="A18" s="52" t="n">
        <v>46047</v>
      </c>
      <c r="B18" s="34">
        <f>TEXT(A18,"mmm yyyy")</f>
        <v/>
      </c>
      <c r="C18" s="34" t="inlineStr">
        <is>
          <t>LinkedIn Jobs</t>
        </is>
      </c>
      <c r="D18" s="34" t="inlineStr">
        <is>
          <t>Recruiting</t>
        </is>
      </c>
      <c r="E18" s="34" t="inlineStr">
        <is>
          <t>Credit Card</t>
        </is>
      </c>
      <c r="F18" s="34" t="inlineStr">
        <is>
          <t>HR</t>
        </is>
      </c>
      <c r="G18" s="53" t="n">
        <v>399</v>
      </c>
      <c r="H18" s="34" t="inlineStr">
        <is>
          <t>Job posting</t>
        </is>
      </c>
      <c r="I18" s="34">
        <f>IF(G18&gt;2000,"Review &gt; $2,000","")</f>
        <v/>
      </c>
    </row>
    <row r="19">
      <c r="A19" s="52" t="n">
        <v>46049</v>
      </c>
      <c r="B19" s="34">
        <f>TEXT(A19,"mmm yyyy")</f>
        <v/>
      </c>
      <c r="C19" s="34" t="inlineStr">
        <is>
          <t>Verizon Business</t>
        </is>
      </c>
      <c r="D19" s="34" t="inlineStr">
        <is>
          <t>Telecom</t>
        </is>
      </c>
      <c r="E19" s="34" t="inlineStr">
        <is>
          <t>ACH</t>
        </is>
      </c>
      <c r="F19" s="34" t="inlineStr">
        <is>
          <t>Admin</t>
        </is>
      </c>
      <c r="G19" s="53" t="n">
        <v>310.5</v>
      </c>
      <c r="H19" s="34" t="inlineStr">
        <is>
          <t>Phone and internet</t>
        </is>
      </c>
      <c r="I19" s="34">
        <f>IF(G19&gt;2000,"Review &gt; $2,000","")</f>
        <v/>
      </c>
    </row>
    <row r="20">
      <c r="A20" s="52" t="n">
        <v>46055</v>
      </c>
      <c r="B20" s="34">
        <f>TEXT(A20,"mmm yyyy")</f>
        <v/>
      </c>
      <c r="C20" s="34" t="inlineStr">
        <is>
          <t>Virginia Office Supply</t>
        </is>
      </c>
      <c r="D20" s="34" t="inlineStr">
        <is>
          <t>Office Supplies</t>
        </is>
      </c>
      <c r="E20" s="34" t="inlineStr">
        <is>
          <t>Credit Card</t>
        </is>
      </c>
      <c r="F20" s="34" t="inlineStr">
        <is>
          <t>Admin</t>
        </is>
      </c>
      <c r="G20" s="53" t="n">
        <v>284.9</v>
      </c>
      <c r="H20" s="34" t="inlineStr">
        <is>
          <t>Office supplies</t>
        </is>
      </c>
      <c r="I20" s="34">
        <f>IF(G20&gt;2000,"Review &gt; $2,000","")</f>
        <v/>
      </c>
    </row>
    <row r="21">
      <c r="A21" s="52" t="n">
        <v>46056</v>
      </c>
      <c r="B21" s="34">
        <f>TEXT(A21,"mmm yyyy")</f>
        <v/>
      </c>
      <c r="C21" s="34" t="inlineStr">
        <is>
          <t>Dominion Energy</t>
        </is>
      </c>
      <c r="D21" s="34" t="inlineStr">
        <is>
          <t>Utilities</t>
        </is>
      </c>
      <c r="E21" s="34" t="inlineStr">
        <is>
          <t>ACH</t>
        </is>
      </c>
      <c r="F21" s="34" t="inlineStr">
        <is>
          <t>Operations</t>
        </is>
      </c>
      <c r="G21" s="53" t="n">
        <v>1395.1</v>
      </c>
      <c r="H21" s="34" t="inlineStr">
        <is>
          <t>Electricity</t>
        </is>
      </c>
      <c r="I21" s="34">
        <f>IF(G21&gt;2000,"Review &gt; $2,000","")</f>
        <v/>
      </c>
    </row>
    <row r="22">
      <c r="A22" s="52" t="n">
        <v>46058</v>
      </c>
      <c r="B22" s="34">
        <f>TEXT(A22,"mmm yyyy")</f>
        <v/>
      </c>
      <c r="C22" s="34" t="inlineStr">
        <is>
          <t>Fairfax Industrial Park</t>
        </is>
      </c>
      <c r="D22" s="34" t="inlineStr">
        <is>
          <t>Rent</t>
        </is>
      </c>
      <c r="E22" s="34" t="inlineStr">
        <is>
          <t>ACH</t>
        </is>
      </c>
      <c r="F22" s="34" t="inlineStr">
        <is>
          <t>Operations</t>
        </is>
      </c>
      <c r="G22" s="53" t="n">
        <v>8750</v>
      </c>
      <c r="H22" s="34" t="inlineStr">
        <is>
          <t>Monthly rent</t>
        </is>
      </c>
      <c r="I22" s="34">
        <f>IF(G22&gt;2000,"Review &gt; $2,000","")</f>
        <v/>
      </c>
    </row>
    <row r="23">
      <c r="A23" s="52" t="n">
        <v>46059</v>
      </c>
      <c r="B23" s="34">
        <f>TEXT(A23,"mmm yyyy")</f>
        <v/>
      </c>
      <c r="C23" s="34" t="inlineStr">
        <is>
          <t>QuickBooks Payroll</t>
        </is>
      </c>
      <c r="D23" s="34" t="inlineStr">
        <is>
          <t>Software</t>
        </is>
      </c>
      <c r="E23" s="34" t="inlineStr">
        <is>
          <t>ACH</t>
        </is>
      </c>
      <c r="F23" s="34" t="inlineStr">
        <is>
          <t>Accounting</t>
        </is>
      </c>
      <c r="G23" s="53" t="n">
        <v>348</v>
      </c>
      <c r="H23" s="34" t="inlineStr">
        <is>
          <t>Payroll subscription</t>
        </is>
      </c>
      <c r="I23" s="34">
        <f>IF(G23&gt;2000,"Review &gt; $2,000","")</f>
        <v/>
      </c>
    </row>
    <row r="24">
      <c r="A24" s="52" t="n">
        <v>46061</v>
      </c>
      <c r="B24" s="34">
        <f>TEXT(A24,"mmm yyyy")</f>
        <v/>
      </c>
      <c r="C24" s="34" t="inlineStr">
        <is>
          <t>DataSafe Cloud Backup</t>
        </is>
      </c>
      <c r="D24" s="34" t="inlineStr">
        <is>
          <t>Software</t>
        </is>
      </c>
      <c r="E24" s="34" t="inlineStr">
        <is>
          <t>Credit Card</t>
        </is>
      </c>
      <c r="F24" s="34" t="inlineStr">
        <is>
          <t>IT</t>
        </is>
      </c>
      <c r="G24" s="53" t="n">
        <v>425</v>
      </c>
      <c r="H24" s="34" t="inlineStr">
        <is>
          <t>Cloud backup</t>
        </is>
      </c>
      <c r="I24" s="34">
        <f>IF(G24&gt;2000,"Review &gt; $2,000","")</f>
        <v/>
      </c>
    </row>
    <row r="25">
      <c r="A25" s="52" t="n">
        <v>46062</v>
      </c>
      <c r="B25" s="34">
        <f>TEXT(A25,"mmm yyyy")</f>
        <v/>
      </c>
      <c r="C25" s="34" t="inlineStr">
        <is>
          <t>Ridgeway Freight Services</t>
        </is>
      </c>
      <c r="D25" s="34" t="inlineStr">
        <is>
          <t>Freight</t>
        </is>
      </c>
      <c r="E25" s="34" t="inlineStr">
        <is>
          <t>Check</t>
        </is>
      </c>
      <c r="F25" s="34" t="inlineStr">
        <is>
          <t>Operations</t>
        </is>
      </c>
      <c r="G25" s="53" t="n">
        <v>2050.4</v>
      </c>
      <c r="H25" s="34" t="inlineStr">
        <is>
          <t>Outbound freight</t>
        </is>
      </c>
      <c r="I25" s="34">
        <f>IF(G25&gt;2000,"Review &gt; $2,000","")</f>
        <v/>
      </c>
    </row>
    <row r="26">
      <c r="A26" s="52" t="n">
        <v>46063</v>
      </c>
      <c r="B26" s="34">
        <f>TEXT(A26,"mmm yyyy")</f>
        <v/>
      </c>
      <c r="C26" s="34" t="inlineStr">
        <is>
          <t>Skyline Janitorial</t>
        </is>
      </c>
      <c r="D26" s="34" t="inlineStr">
        <is>
          <t>Facilities</t>
        </is>
      </c>
      <c r="E26" s="34" t="inlineStr">
        <is>
          <t>Check</t>
        </is>
      </c>
      <c r="F26" s="34" t="inlineStr">
        <is>
          <t>Operations</t>
        </is>
      </c>
      <c r="G26" s="53" t="n">
        <v>685</v>
      </c>
      <c r="H26" s="34" t="inlineStr">
        <is>
          <t>Cleaning service</t>
        </is>
      </c>
      <c r="I26" s="34">
        <f>IF(G26&gt;2000,"Review &gt; $2,000","")</f>
        <v/>
      </c>
    </row>
    <row r="27">
      <c r="A27" s="52" t="n">
        <v>46065</v>
      </c>
      <c r="B27" s="34">
        <f>TEXT(A27,"mmm yyyy")</f>
        <v/>
      </c>
      <c r="C27" s="34" t="inlineStr">
        <is>
          <t>SafetyFirst Supplies</t>
        </is>
      </c>
      <c r="D27" s="34" t="inlineStr">
        <is>
          <t>Safety Supplies</t>
        </is>
      </c>
      <c r="E27" s="34" t="inlineStr">
        <is>
          <t>Check</t>
        </is>
      </c>
      <c r="F27" s="34" t="inlineStr">
        <is>
          <t>Operations</t>
        </is>
      </c>
      <c r="G27" s="53" t="n">
        <v>1430</v>
      </c>
      <c r="H27" s="34" t="inlineStr">
        <is>
          <t>Gloves and PPE</t>
        </is>
      </c>
      <c r="I27" s="34">
        <f>IF(G27&gt;2000,"Review &gt; $2,000","")</f>
        <v/>
      </c>
    </row>
    <row r="28">
      <c r="A28" s="52" t="n">
        <v>46068</v>
      </c>
      <c r="B28" s="34">
        <f>TEXT(A28,"mmm yyyy")</f>
        <v/>
      </c>
      <c r="C28" s="34" t="inlineStr">
        <is>
          <t>Hampton Roads Insurance</t>
        </is>
      </c>
      <c r="D28" s="34" t="inlineStr">
        <is>
          <t>Insurance</t>
        </is>
      </c>
      <c r="E28" s="34" t="inlineStr">
        <is>
          <t>ACH</t>
        </is>
      </c>
      <c r="F28" s="34" t="inlineStr">
        <is>
          <t>Admin</t>
        </is>
      </c>
      <c r="G28" s="53" t="n">
        <v>1950</v>
      </c>
      <c r="H28" s="34" t="inlineStr">
        <is>
          <t>General liability premium</t>
        </is>
      </c>
      <c r="I28" s="34">
        <f>IF(G28&gt;2000,"Review &gt; $2,000","")</f>
        <v/>
      </c>
    </row>
    <row r="29">
      <c r="A29" s="52" t="n">
        <v>46071</v>
      </c>
      <c r="B29" s="34">
        <f>TEXT(A29,"mmm yyyy")</f>
        <v/>
      </c>
      <c r="C29" s="34" t="inlineStr">
        <is>
          <t>Richmond Tax Advisors</t>
        </is>
      </c>
      <c r="D29" s="34" t="inlineStr">
        <is>
          <t>Professional Fees</t>
        </is>
      </c>
      <c r="E29" s="34" t="inlineStr">
        <is>
          <t>ACH</t>
        </is>
      </c>
      <c r="F29" s="34" t="inlineStr">
        <is>
          <t>Accounting</t>
        </is>
      </c>
      <c r="G29" s="53" t="n">
        <v>1400</v>
      </c>
      <c r="H29" s="34" t="inlineStr">
        <is>
          <t>Tax prep support</t>
        </is>
      </c>
      <c r="I29" s="34">
        <f>IF(G29&gt;2000,"Review &gt; $2,000","")</f>
        <v/>
      </c>
    </row>
    <row r="30">
      <c r="A30" s="52" t="n">
        <v>46073</v>
      </c>
      <c r="B30" s="34">
        <f>TEXT(A30,"mmm yyyy")</f>
        <v/>
      </c>
      <c r="C30" s="34" t="inlineStr">
        <is>
          <t>Microsoft 365</t>
        </is>
      </c>
      <c r="D30" s="34" t="inlineStr">
        <is>
          <t>Software</t>
        </is>
      </c>
      <c r="E30" s="34" t="inlineStr">
        <is>
          <t>Credit Card</t>
        </is>
      </c>
      <c r="F30" s="34" t="inlineStr">
        <is>
          <t>Admin</t>
        </is>
      </c>
      <c r="G30" s="53" t="n">
        <v>265</v>
      </c>
      <c r="H30" s="34" t="inlineStr">
        <is>
          <t>Office subscription</t>
        </is>
      </c>
      <c r="I30" s="34">
        <f>IF(G30&gt;2000,"Review &gt; $2,000","")</f>
        <v/>
      </c>
    </row>
    <row r="31">
      <c r="A31" s="52" t="n">
        <v>46074</v>
      </c>
      <c r="B31" s="34">
        <f>TEXT(A31,"mmm yyyy")</f>
        <v/>
      </c>
      <c r="C31" s="34" t="inlineStr">
        <is>
          <t>FuelFleet Cards</t>
        </is>
      </c>
      <c r="D31" s="34" t="inlineStr">
        <is>
          <t>Vehicle Expense</t>
        </is>
      </c>
      <c r="E31" s="34" t="inlineStr">
        <is>
          <t>Credit Card</t>
        </is>
      </c>
      <c r="F31" s="34" t="inlineStr">
        <is>
          <t>Operations</t>
        </is>
      </c>
      <c r="G31" s="53" t="n">
        <v>610.8</v>
      </c>
      <c r="H31" s="34" t="inlineStr">
        <is>
          <t>Delivery fuel</t>
        </is>
      </c>
      <c r="I31" s="34">
        <f>IF(G31&gt;2000,"Review &gt; $2,000","")</f>
        <v/>
      </c>
    </row>
    <row r="32">
      <c r="A32" s="52" t="n">
        <v>46076</v>
      </c>
      <c r="B32" s="34">
        <f>TEXT(A32,"mmm yyyy")</f>
        <v/>
      </c>
      <c r="C32" s="34" t="inlineStr">
        <is>
          <t>Blue Ridge Maintenance</t>
        </is>
      </c>
      <c r="D32" s="34" t="inlineStr">
        <is>
          <t>Repairs &amp; Maintenance</t>
        </is>
      </c>
      <c r="E32" s="34" t="inlineStr">
        <is>
          <t>Check</t>
        </is>
      </c>
      <c r="F32" s="34" t="inlineStr">
        <is>
          <t>Operations</t>
        </is>
      </c>
      <c r="G32" s="53" t="n">
        <v>1280</v>
      </c>
      <c r="H32" s="34" t="inlineStr">
        <is>
          <t>Machine repair</t>
        </is>
      </c>
      <c r="I32" s="34">
        <f>IF(G32&gt;2000,"Review &gt; $2,000","")</f>
        <v/>
      </c>
    </row>
    <row r="33">
      <c r="A33" s="52" t="n">
        <v>46078</v>
      </c>
      <c r="B33" s="34">
        <f>TEXT(A33,"mmm yyyy")</f>
        <v/>
      </c>
      <c r="C33" s="34" t="inlineStr">
        <is>
          <t>Indeed</t>
        </is>
      </c>
      <c r="D33" s="34" t="inlineStr">
        <is>
          <t>Recruiting</t>
        </is>
      </c>
      <c r="E33" s="34" t="inlineStr">
        <is>
          <t>Credit Card</t>
        </is>
      </c>
      <c r="F33" s="34" t="inlineStr">
        <is>
          <t>HR</t>
        </is>
      </c>
      <c r="G33" s="53" t="n">
        <v>450</v>
      </c>
      <c r="H33" s="34" t="inlineStr">
        <is>
          <t>Job posting</t>
        </is>
      </c>
      <c r="I33" s="34">
        <f>IF(G33&gt;2000,"Review &gt; $2,000","")</f>
        <v/>
      </c>
    </row>
    <row r="34">
      <c r="A34" s="52" t="n">
        <v>46080</v>
      </c>
      <c r="B34" s="34">
        <f>TEXT(A34,"mmm yyyy")</f>
        <v/>
      </c>
      <c r="C34" s="34" t="inlineStr">
        <is>
          <t>Verizon Business</t>
        </is>
      </c>
      <c r="D34" s="34" t="inlineStr">
        <is>
          <t>Telecom</t>
        </is>
      </c>
      <c r="E34" s="34" t="inlineStr">
        <is>
          <t>ACH</t>
        </is>
      </c>
      <c r="F34" s="34" t="inlineStr">
        <is>
          <t>Admin</t>
        </is>
      </c>
      <c r="G34" s="53" t="n">
        <v>310.5</v>
      </c>
      <c r="H34" s="34" t="inlineStr">
        <is>
          <t>Phone and internet</t>
        </is>
      </c>
      <c r="I34" s="34">
        <f>IF(G34&gt;2000,"Review &gt; $2,000","")</f>
        <v/>
      </c>
    </row>
    <row r="35">
      <c r="A35" s="52" t="n">
        <v>46083</v>
      </c>
      <c r="B35" s="34">
        <f>TEXT(A35,"mmm yyyy")</f>
        <v/>
      </c>
      <c r="C35" s="34" t="inlineStr">
        <is>
          <t>Virginia Office Supply</t>
        </is>
      </c>
      <c r="D35" s="34" t="inlineStr">
        <is>
          <t>Office Supplies</t>
        </is>
      </c>
      <c r="E35" s="34" t="inlineStr">
        <is>
          <t>Credit Card</t>
        </is>
      </c>
      <c r="F35" s="34" t="inlineStr">
        <is>
          <t>Admin</t>
        </is>
      </c>
      <c r="G35" s="53" t="n">
        <v>355.2</v>
      </c>
      <c r="H35" s="34" t="inlineStr">
        <is>
          <t>Office supplies</t>
        </is>
      </c>
      <c r="I35" s="34">
        <f>IF(G35&gt;2000,"Review &gt; $2,000","")</f>
        <v/>
      </c>
    </row>
    <row r="36">
      <c r="A36" s="52" t="n">
        <v>46084</v>
      </c>
      <c r="B36" s="34">
        <f>TEXT(A36,"mmm yyyy")</f>
        <v/>
      </c>
      <c r="C36" s="34" t="inlineStr">
        <is>
          <t>Dominion Energy</t>
        </is>
      </c>
      <c r="D36" s="34" t="inlineStr">
        <is>
          <t>Utilities</t>
        </is>
      </c>
      <c r="E36" s="34" t="inlineStr">
        <is>
          <t>ACH</t>
        </is>
      </c>
      <c r="F36" s="34" t="inlineStr">
        <is>
          <t>Operations</t>
        </is>
      </c>
      <c r="G36" s="53" t="n">
        <v>1425.6</v>
      </c>
      <c r="H36" s="34" t="inlineStr">
        <is>
          <t>Electricity</t>
        </is>
      </c>
      <c r="I36" s="34">
        <f>IF(G36&gt;2000,"Review &gt; $2,000","")</f>
        <v/>
      </c>
    </row>
    <row r="37">
      <c r="A37" s="52" t="n">
        <v>46086</v>
      </c>
      <c r="B37" s="34">
        <f>TEXT(A37,"mmm yyyy")</f>
        <v/>
      </c>
      <c r="C37" s="34" t="inlineStr">
        <is>
          <t>Fairfax Industrial Park</t>
        </is>
      </c>
      <c r="D37" s="34" t="inlineStr">
        <is>
          <t>Rent</t>
        </is>
      </c>
      <c r="E37" s="34" t="inlineStr">
        <is>
          <t>ACH</t>
        </is>
      </c>
      <c r="F37" s="34" t="inlineStr">
        <is>
          <t>Operations</t>
        </is>
      </c>
      <c r="G37" s="53" t="n">
        <v>8750</v>
      </c>
      <c r="H37" s="34" t="inlineStr">
        <is>
          <t>Monthly rent</t>
        </is>
      </c>
      <c r="I37" s="34">
        <f>IF(G37&gt;2000,"Review &gt; $2,000","")</f>
        <v/>
      </c>
    </row>
    <row r="38">
      <c r="A38" s="52" t="n">
        <v>46087</v>
      </c>
      <c r="B38" s="34">
        <f>TEXT(A38,"mmm yyyy")</f>
        <v/>
      </c>
      <c r="C38" s="34" t="inlineStr">
        <is>
          <t>QuickBooks Payroll</t>
        </is>
      </c>
      <c r="D38" s="34" t="inlineStr">
        <is>
          <t>Software</t>
        </is>
      </c>
      <c r="E38" s="34" t="inlineStr">
        <is>
          <t>ACH</t>
        </is>
      </c>
      <c r="F38" s="34" t="inlineStr">
        <is>
          <t>Accounting</t>
        </is>
      </c>
      <c r="G38" s="53" t="n">
        <v>348</v>
      </c>
      <c r="H38" s="34" t="inlineStr">
        <is>
          <t>Payroll subscription</t>
        </is>
      </c>
      <c r="I38" s="34">
        <f>IF(G38&gt;2000,"Review &gt; $2,000","")</f>
        <v/>
      </c>
    </row>
    <row r="39">
      <c r="A39" s="52" t="n">
        <v>46089</v>
      </c>
      <c r="B39" s="34">
        <f>TEXT(A39,"mmm yyyy")</f>
        <v/>
      </c>
      <c r="C39" s="34" t="inlineStr">
        <is>
          <t>DataSafe Cloud Backup</t>
        </is>
      </c>
      <c r="D39" s="34" t="inlineStr">
        <is>
          <t>Software</t>
        </is>
      </c>
      <c r="E39" s="34" t="inlineStr">
        <is>
          <t>Credit Card</t>
        </is>
      </c>
      <c r="F39" s="34" t="inlineStr">
        <is>
          <t>IT</t>
        </is>
      </c>
      <c r="G39" s="53" t="n">
        <v>425</v>
      </c>
      <c r="H39" s="34" t="inlineStr">
        <is>
          <t>Cloud backup</t>
        </is>
      </c>
      <c r="I39" s="34">
        <f>IF(G39&gt;2000,"Review &gt; $2,000","")</f>
        <v/>
      </c>
    </row>
    <row r="40">
      <c r="A40" s="52" t="n">
        <v>46090</v>
      </c>
      <c r="B40" s="34">
        <f>TEXT(A40,"mmm yyyy")</f>
        <v/>
      </c>
      <c r="C40" s="34" t="inlineStr">
        <is>
          <t>Ridgeway Freight Services</t>
        </is>
      </c>
      <c r="D40" s="34" t="inlineStr">
        <is>
          <t>Freight</t>
        </is>
      </c>
      <c r="E40" s="34" t="inlineStr">
        <is>
          <t>Check</t>
        </is>
      </c>
      <c r="F40" s="34" t="inlineStr">
        <is>
          <t>Operations</t>
        </is>
      </c>
      <c r="G40" s="53" t="n">
        <v>2360</v>
      </c>
      <c r="H40" s="34" t="inlineStr">
        <is>
          <t>Outbound freight</t>
        </is>
      </c>
      <c r="I40" s="34">
        <f>IF(G40&gt;2000,"Review &gt; $2,000","")</f>
        <v/>
      </c>
    </row>
    <row r="41">
      <c r="A41" s="52" t="n">
        <v>46091</v>
      </c>
      <c r="B41" s="34">
        <f>TEXT(A41,"mmm yyyy")</f>
        <v/>
      </c>
      <c r="C41" s="34" t="inlineStr">
        <is>
          <t>Skyline Janitorial</t>
        </is>
      </c>
      <c r="D41" s="34" t="inlineStr">
        <is>
          <t>Facilities</t>
        </is>
      </c>
      <c r="E41" s="34" t="inlineStr">
        <is>
          <t>Check</t>
        </is>
      </c>
      <c r="F41" s="34" t="inlineStr">
        <is>
          <t>Operations</t>
        </is>
      </c>
      <c r="G41" s="53" t="n">
        <v>720</v>
      </c>
      <c r="H41" s="34" t="inlineStr">
        <is>
          <t>Cleaning service</t>
        </is>
      </c>
      <c r="I41" s="34">
        <f>IF(G41&gt;2000,"Review &gt; $2,000","")</f>
        <v/>
      </c>
    </row>
    <row r="42">
      <c r="A42" s="52" t="n">
        <v>46093</v>
      </c>
      <c r="B42" s="34">
        <f>TEXT(A42,"mmm yyyy")</f>
        <v/>
      </c>
      <c r="C42" s="34" t="inlineStr">
        <is>
          <t>SafetyFirst Supplies</t>
        </is>
      </c>
      <c r="D42" s="34" t="inlineStr">
        <is>
          <t>Safety Supplies</t>
        </is>
      </c>
      <c r="E42" s="34" t="inlineStr">
        <is>
          <t>Check</t>
        </is>
      </c>
      <c r="F42" s="34" t="inlineStr">
        <is>
          <t>Operations</t>
        </is>
      </c>
      <c r="G42" s="53" t="n">
        <v>980</v>
      </c>
      <c r="H42" s="34" t="inlineStr">
        <is>
          <t>Gloves and PPE</t>
        </is>
      </c>
      <c r="I42" s="34">
        <f>IF(G42&gt;2000,"Review &gt; $2,000","")</f>
        <v/>
      </c>
    </row>
    <row r="43">
      <c r="A43" s="52" t="n">
        <v>46096</v>
      </c>
      <c r="B43" s="34">
        <f>TEXT(A43,"mmm yyyy")</f>
        <v/>
      </c>
      <c r="C43" s="34" t="inlineStr">
        <is>
          <t>Hampton Roads Insurance</t>
        </is>
      </c>
      <c r="D43" s="34" t="inlineStr">
        <is>
          <t>Insurance</t>
        </is>
      </c>
      <c r="E43" s="34" t="inlineStr">
        <is>
          <t>ACH</t>
        </is>
      </c>
      <c r="F43" s="34" t="inlineStr">
        <is>
          <t>Admin</t>
        </is>
      </c>
      <c r="G43" s="53" t="n">
        <v>1950</v>
      </c>
      <c r="H43" s="34" t="inlineStr">
        <is>
          <t>General liability premium</t>
        </is>
      </c>
      <c r="I43" s="34">
        <f>IF(G43&gt;2000,"Review &gt; $2,000","")</f>
        <v/>
      </c>
    </row>
    <row r="44">
      <c r="A44" s="52" t="n">
        <v>46099</v>
      </c>
      <c r="B44" s="34">
        <f>TEXT(A44,"mmm yyyy")</f>
        <v/>
      </c>
      <c r="C44" s="34" t="inlineStr">
        <is>
          <t>Richmond Tax Advisors</t>
        </is>
      </c>
      <c r="D44" s="34" t="inlineStr">
        <is>
          <t>Professional Fees</t>
        </is>
      </c>
      <c r="E44" s="34" t="inlineStr">
        <is>
          <t>ACH</t>
        </is>
      </c>
      <c r="F44" s="34" t="inlineStr">
        <is>
          <t>Accounting</t>
        </is>
      </c>
      <c r="G44" s="53" t="n">
        <v>2200</v>
      </c>
      <c r="H44" s="34" t="inlineStr">
        <is>
          <t>Quarter-end support</t>
        </is>
      </c>
      <c r="I44" s="34">
        <f>IF(G44&gt;2000,"Review &gt; $2,000","")</f>
        <v/>
      </c>
    </row>
    <row r="45">
      <c r="A45" s="52" t="n">
        <v>46101</v>
      </c>
      <c r="B45" s="34">
        <f>TEXT(A45,"mmm yyyy")</f>
        <v/>
      </c>
      <c r="C45" s="34" t="inlineStr">
        <is>
          <t>Microsoft 365</t>
        </is>
      </c>
      <c r="D45" s="34" t="inlineStr">
        <is>
          <t>Software</t>
        </is>
      </c>
      <c r="E45" s="34" t="inlineStr">
        <is>
          <t>Credit Card</t>
        </is>
      </c>
      <c r="F45" s="34" t="inlineStr">
        <is>
          <t>Admin</t>
        </is>
      </c>
      <c r="G45" s="53" t="n">
        <v>265</v>
      </c>
      <c r="H45" s="34" t="inlineStr">
        <is>
          <t>Office subscription</t>
        </is>
      </c>
      <c r="I45" s="34">
        <f>IF(G45&gt;2000,"Review &gt; $2,000","")</f>
        <v/>
      </c>
    </row>
    <row r="46">
      <c r="A46" s="52" t="n">
        <v>46102</v>
      </c>
      <c r="B46" s="34">
        <f>TEXT(A46,"mmm yyyy")</f>
        <v/>
      </c>
      <c r="C46" s="34" t="inlineStr">
        <is>
          <t>FuelFleet Cards</t>
        </is>
      </c>
      <c r="D46" s="34" t="inlineStr">
        <is>
          <t>Vehicle Expense</t>
        </is>
      </c>
      <c r="E46" s="34" t="inlineStr">
        <is>
          <t>Credit Card</t>
        </is>
      </c>
      <c r="F46" s="34" t="inlineStr">
        <is>
          <t>Operations</t>
        </is>
      </c>
      <c r="G46" s="53" t="n">
        <v>735.15</v>
      </c>
      <c r="H46" s="34" t="inlineStr">
        <is>
          <t>Delivery fuel</t>
        </is>
      </c>
      <c r="I46" s="34">
        <f>IF(G46&gt;2000,"Review &gt; $2,000","")</f>
        <v/>
      </c>
    </row>
    <row r="47">
      <c r="A47" s="52" t="n">
        <v>46104</v>
      </c>
      <c r="B47" s="34">
        <f>TEXT(A47,"mmm yyyy")</f>
        <v/>
      </c>
      <c r="C47" s="34" t="inlineStr">
        <is>
          <t>Blue Ridge Maintenance</t>
        </is>
      </c>
      <c r="D47" s="34" t="inlineStr">
        <is>
          <t>Repairs &amp; Maintenance</t>
        </is>
      </c>
      <c r="E47" s="34" t="inlineStr">
        <is>
          <t>Check</t>
        </is>
      </c>
      <c r="F47" s="34" t="inlineStr">
        <is>
          <t>Operations</t>
        </is>
      </c>
      <c r="G47" s="53" t="n">
        <v>1685</v>
      </c>
      <c r="H47" s="34" t="inlineStr">
        <is>
          <t>Emergency machine repair</t>
        </is>
      </c>
      <c r="I47" s="34">
        <f>IF(G47&gt;2000,"Review &gt; $2,000","")</f>
        <v/>
      </c>
    </row>
    <row r="48">
      <c r="A48" s="52" t="n">
        <v>46106</v>
      </c>
      <c r="B48" s="34">
        <f>TEXT(A48,"mmm yyyy")</f>
        <v/>
      </c>
      <c r="C48" s="34" t="inlineStr">
        <is>
          <t>LinkedIn Jobs</t>
        </is>
      </c>
      <c r="D48" s="34" t="inlineStr">
        <is>
          <t>Recruiting</t>
        </is>
      </c>
      <c r="E48" s="34" t="inlineStr">
        <is>
          <t>Credit Card</t>
        </is>
      </c>
      <c r="F48" s="34" t="inlineStr">
        <is>
          <t>HR</t>
        </is>
      </c>
      <c r="G48" s="53" t="n">
        <v>399</v>
      </c>
      <c r="H48" s="34" t="inlineStr">
        <is>
          <t>Job posting</t>
        </is>
      </c>
      <c r="I48" s="34">
        <f>IF(G48&gt;2000,"Review &gt; $2,000","")</f>
        <v/>
      </c>
    </row>
    <row r="49">
      <c r="A49" s="52" t="n">
        <v>46108</v>
      </c>
      <c r="B49" s="34">
        <f>TEXT(A49,"mmm yyyy")</f>
        <v/>
      </c>
      <c r="C49" s="34" t="inlineStr">
        <is>
          <t>Verizon Business</t>
        </is>
      </c>
      <c r="D49" s="34" t="inlineStr">
        <is>
          <t>Telecom</t>
        </is>
      </c>
      <c r="E49" s="34" t="inlineStr">
        <is>
          <t>ACH</t>
        </is>
      </c>
      <c r="F49" s="34" t="inlineStr">
        <is>
          <t>Admin</t>
        </is>
      </c>
      <c r="G49" s="53" t="n">
        <v>310.5</v>
      </c>
      <c r="H49" s="34" t="inlineStr">
        <is>
          <t>Phone and internet</t>
        </is>
      </c>
      <c r="I49" s="34">
        <f>IF(G49&gt;2000,"Review &gt; $2,000","")</f>
        <v/>
      </c>
    </row>
  </sheetData>
  <mergeCells count="2">
    <mergeCell ref="A1:I1"/>
    <mergeCell ref="A2:I2"/>
  </mergeCells>
  <conditionalFormatting sqref="I5:I49">
    <cfRule type="expression" priority="1" dxfId="0">
      <formula>I5&lt;&gt;""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28" customWidth="1" min="7" max="7"/>
    <col width="15" customWidth="1" min="8" max="8"/>
  </cols>
  <sheetData>
    <row r="1" ht="28" customHeight="1">
      <c r="A1" s="9" t="inlineStr">
        <is>
          <t>Expense Analysis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7" t="inlineStr">
        <is>
          <t>Formula-based pivot-style summary for management review.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24" customHeight="1">
      <c r="A4" s="22" t="inlineStr">
        <is>
          <t>KPI</t>
        </is>
      </c>
      <c r="B4" s="22" t="inlineStr">
        <is>
          <t>Amount</t>
        </is>
      </c>
    </row>
    <row r="5">
      <c r="A5" s="29" t="inlineStr">
        <is>
          <t>Total Expenses</t>
        </is>
      </c>
      <c r="B5" s="54">
        <f>SUM(Expense_Data!G5:G49)</f>
        <v/>
      </c>
    </row>
    <row r="6">
      <c r="A6" s="29" t="inlineStr">
        <is>
          <t>Average Transaction</t>
        </is>
      </c>
      <c r="B6" s="54">
        <f>AVERAGE(Expense_Data!G5:G49)</f>
        <v/>
      </c>
    </row>
    <row r="7">
      <c r="A7" s="29" t="inlineStr">
        <is>
          <t>Transactions &gt; $2,000</t>
        </is>
      </c>
      <c r="B7" s="54">
        <f>COUNTIF(Expense_Data!I5:I49,"Review &gt; $2,000")</f>
        <v/>
      </c>
    </row>
    <row r="8">
      <c r="A8" s="29" t="inlineStr">
        <is>
          <t>Largest Single Expense</t>
        </is>
      </c>
      <c r="B8" s="54">
        <f>MAX(Expense_Data!G5:G49)</f>
        <v/>
      </c>
    </row>
    <row r="11" ht="24" customHeight="1">
      <c r="A11" s="22" t="inlineStr">
        <is>
          <t>Category</t>
        </is>
      </c>
      <c r="B11" s="22" t="inlineStr">
        <is>
          <t>Jan 2026</t>
        </is>
      </c>
      <c r="C11" s="22" t="inlineStr">
        <is>
          <t>Feb 2026</t>
        </is>
      </c>
      <c r="D11" s="22" t="inlineStr">
        <is>
          <t>Mar 2026</t>
        </is>
      </c>
      <c r="E11" s="22" t="inlineStr">
        <is>
          <t>Total</t>
        </is>
      </c>
      <c r="G11" s="22" t="inlineStr">
        <is>
          <t>Vendor</t>
        </is>
      </c>
      <c r="H11" s="22" t="inlineStr">
        <is>
          <t>Total Spend</t>
        </is>
      </c>
    </row>
    <row r="12">
      <c r="A12" t="inlineStr">
        <is>
          <t>Rent</t>
        </is>
      </c>
      <c r="B12" s="54">
        <f>SUMIFS(Expense_Data!$G$5:$G$49,Expense_Data!$D$5:$D$49,$A12,Expense_Data!$B$5:$B$49,B$11)</f>
        <v/>
      </c>
      <c r="C12" s="54">
        <f>SUMIFS(Expense_Data!$G$5:$G$49,Expense_Data!$D$5:$D$49,$A12,Expense_Data!$B$5:$B$49,C$11)</f>
        <v/>
      </c>
      <c r="D12" s="54">
        <f>SUMIFS(Expense_Data!$G$5:$G$49,Expense_Data!$D$5:$D$49,$A12,Expense_Data!$B$5:$B$49,D$11)</f>
        <v/>
      </c>
      <c r="E12" s="54">
        <f>SUM(B12:D12)</f>
        <v/>
      </c>
      <c r="G12" t="inlineStr">
        <is>
          <t>Fairfax Industrial Park</t>
        </is>
      </c>
      <c r="H12" s="54">
        <f>SUMIFS(Expense_Data!$G$5:$G$49,Expense_Data!$C$5:$C$49,G12)</f>
        <v/>
      </c>
    </row>
    <row r="13">
      <c r="A13" t="inlineStr">
        <is>
          <t>Utilities</t>
        </is>
      </c>
      <c r="B13" s="54">
        <f>SUMIFS(Expense_Data!$G$5:$G$49,Expense_Data!$D$5:$D$49,$A13,Expense_Data!$B$5:$B$49,B$11)</f>
        <v/>
      </c>
      <c r="C13" s="54">
        <f>SUMIFS(Expense_Data!$G$5:$G$49,Expense_Data!$D$5:$D$49,$A13,Expense_Data!$B$5:$B$49,C$11)</f>
        <v/>
      </c>
      <c r="D13" s="54">
        <f>SUMIFS(Expense_Data!$G$5:$G$49,Expense_Data!$D$5:$D$49,$A13,Expense_Data!$B$5:$B$49,D$11)</f>
        <v/>
      </c>
      <c r="E13" s="54">
        <f>SUM(B13:D13)</f>
        <v/>
      </c>
      <c r="G13" t="inlineStr">
        <is>
          <t>Dominion Energy</t>
        </is>
      </c>
      <c r="H13" s="54">
        <f>SUMIFS(Expense_Data!$G$5:$G$49,Expense_Data!$C$5:$C$49,G13)</f>
        <v/>
      </c>
    </row>
    <row r="14">
      <c r="A14" t="inlineStr">
        <is>
          <t>Software</t>
        </is>
      </c>
      <c r="B14" s="54">
        <f>SUMIFS(Expense_Data!$G$5:$G$49,Expense_Data!$D$5:$D$49,$A14,Expense_Data!$B$5:$B$49,B$11)</f>
        <v/>
      </c>
      <c r="C14" s="54">
        <f>SUMIFS(Expense_Data!$G$5:$G$49,Expense_Data!$D$5:$D$49,$A14,Expense_Data!$B$5:$B$49,C$11)</f>
        <v/>
      </c>
      <c r="D14" s="54">
        <f>SUMIFS(Expense_Data!$G$5:$G$49,Expense_Data!$D$5:$D$49,$A14,Expense_Data!$B$5:$B$49,D$11)</f>
        <v/>
      </c>
      <c r="E14" s="54">
        <f>SUM(B14:D14)</f>
        <v/>
      </c>
      <c r="G14" t="inlineStr">
        <is>
          <t>Ridgeway Freight Services</t>
        </is>
      </c>
      <c r="H14" s="54">
        <f>SUMIFS(Expense_Data!$G$5:$G$49,Expense_Data!$C$5:$C$49,G14)</f>
        <v/>
      </c>
    </row>
    <row r="15">
      <c r="A15" t="inlineStr">
        <is>
          <t>Freight</t>
        </is>
      </c>
      <c r="B15" s="54">
        <f>SUMIFS(Expense_Data!$G$5:$G$49,Expense_Data!$D$5:$D$49,$A15,Expense_Data!$B$5:$B$49,B$11)</f>
        <v/>
      </c>
      <c r="C15" s="54">
        <f>SUMIFS(Expense_Data!$G$5:$G$49,Expense_Data!$D$5:$D$49,$A15,Expense_Data!$B$5:$B$49,C$11)</f>
        <v/>
      </c>
      <c r="D15" s="54">
        <f>SUMIFS(Expense_Data!$G$5:$G$49,Expense_Data!$D$5:$D$49,$A15,Expense_Data!$B$5:$B$49,D$11)</f>
        <v/>
      </c>
      <c r="E15" s="54">
        <f>SUM(B15:D15)</f>
        <v/>
      </c>
      <c r="G15" t="inlineStr">
        <is>
          <t>Richmond Tax Advisors</t>
        </is>
      </c>
      <c r="H15" s="54">
        <f>SUMIFS(Expense_Data!$G$5:$G$49,Expense_Data!$C$5:$C$49,G15)</f>
        <v/>
      </c>
    </row>
    <row r="16">
      <c r="A16" t="inlineStr">
        <is>
          <t>Facilities</t>
        </is>
      </c>
      <c r="B16" s="54">
        <f>SUMIFS(Expense_Data!$G$5:$G$49,Expense_Data!$D$5:$D$49,$A16,Expense_Data!$B$5:$B$49,B$11)</f>
        <v/>
      </c>
      <c r="C16" s="54">
        <f>SUMIFS(Expense_Data!$G$5:$G$49,Expense_Data!$D$5:$D$49,$A16,Expense_Data!$B$5:$B$49,C$11)</f>
        <v/>
      </c>
      <c r="D16" s="54">
        <f>SUMIFS(Expense_Data!$G$5:$G$49,Expense_Data!$D$5:$D$49,$A16,Expense_Data!$B$5:$B$49,D$11)</f>
        <v/>
      </c>
      <c r="E16" s="54">
        <f>SUM(B16:D16)</f>
        <v/>
      </c>
      <c r="G16" t="inlineStr">
        <is>
          <t>Hampton Roads Insurance</t>
        </is>
      </c>
      <c r="H16" s="54">
        <f>SUMIFS(Expense_Data!$G$5:$G$49,Expense_Data!$C$5:$C$49,G16)</f>
        <v/>
      </c>
    </row>
    <row r="17">
      <c r="A17" t="inlineStr">
        <is>
          <t>Safety Supplies</t>
        </is>
      </c>
      <c r="B17" s="54">
        <f>SUMIFS(Expense_Data!$G$5:$G$49,Expense_Data!$D$5:$D$49,$A17,Expense_Data!$B$5:$B$49,B$11)</f>
        <v/>
      </c>
      <c r="C17" s="54">
        <f>SUMIFS(Expense_Data!$G$5:$G$49,Expense_Data!$D$5:$D$49,$A17,Expense_Data!$B$5:$B$49,C$11)</f>
        <v/>
      </c>
      <c r="D17" s="54">
        <f>SUMIFS(Expense_Data!$G$5:$G$49,Expense_Data!$D$5:$D$49,$A17,Expense_Data!$B$5:$B$49,D$11)</f>
        <v/>
      </c>
      <c r="E17" s="54">
        <f>SUM(B17:D17)</f>
        <v/>
      </c>
      <c r="G17" t="inlineStr">
        <is>
          <t>Blue Ridge Maintenance</t>
        </is>
      </c>
      <c r="H17" s="54">
        <f>SUMIFS(Expense_Data!$G$5:$G$49,Expense_Data!$C$5:$C$49,G17)</f>
        <v/>
      </c>
    </row>
    <row r="18">
      <c r="A18" t="inlineStr">
        <is>
          <t>Insurance</t>
        </is>
      </c>
      <c r="B18" s="54">
        <f>SUMIFS(Expense_Data!$G$5:$G$49,Expense_Data!$D$5:$D$49,$A18,Expense_Data!$B$5:$B$49,B$11)</f>
        <v/>
      </c>
      <c r="C18" s="54">
        <f>SUMIFS(Expense_Data!$G$5:$G$49,Expense_Data!$D$5:$D$49,$A18,Expense_Data!$B$5:$B$49,C$11)</f>
        <v/>
      </c>
      <c r="D18" s="54">
        <f>SUMIFS(Expense_Data!$G$5:$G$49,Expense_Data!$D$5:$D$49,$A18,Expense_Data!$B$5:$B$49,D$11)</f>
        <v/>
      </c>
      <c r="E18" s="54">
        <f>SUM(B18:D18)</f>
        <v/>
      </c>
      <c r="G18" t="inlineStr">
        <is>
          <t>SafetyFirst Supplies</t>
        </is>
      </c>
      <c r="H18" s="54">
        <f>SUMIFS(Expense_Data!$G$5:$G$49,Expense_Data!$C$5:$C$49,G18)</f>
        <v/>
      </c>
    </row>
    <row r="19">
      <c r="A19" t="inlineStr">
        <is>
          <t>Professional Fees</t>
        </is>
      </c>
      <c r="B19" s="54">
        <f>SUMIFS(Expense_Data!$G$5:$G$49,Expense_Data!$D$5:$D$49,$A19,Expense_Data!$B$5:$B$49,B$11)</f>
        <v/>
      </c>
      <c r="C19" s="54">
        <f>SUMIFS(Expense_Data!$G$5:$G$49,Expense_Data!$D$5:$D$49,$A19,Expense_Data!$B$5:$B$49,C$11)</f>
        <v/>
      </c>
      <c r="D19" s="54">
        <f>SUMIFS(Expense_Data!$G$5:$G$49,Expense_Data!$D$5:$D$49,$A19,Expense_Data!$B$5:$B$49,D$11)</f>
        <v/>
      </c>
      <c r="E19" s="54">
        <f>SUM(B19:D19)</f>
        <v/>
      </c>
      <c r="G19" t="inlineStr">
        <is>
          <t>DataSafe Cloud Backup</t>
        </is>
      </c>
      <c r="H19" s="54">
        <f>SUMIFS(Expense_Data!$G$5:$G$49,Expense_Data!$C$5:$C$49,G19)</f>
        <v/>
      </c>
    </row>
    <row r="20">
      <c r="A20" t="inlineStr">
        <is>
          <t>Office Supplies</t>
        </is>
      </c>
      <c r="B20" s="54">
        <f>SUMIFS(Expense_Data!$G$5:$G$49,Expense_Data!$D$5:$D$49,$A20,Expense_Data!$B$5:$B$49,B$11)</f>
        <v/>
      </c>
      <c r="C20" s="54">
        <f>SUMIFS(Expense_Data!$G$5:$G$49,Expense_Data!$D$5:$D$49,$A20,Expense_Data!$B$5:$B$49,C$11)</f>
        <v/>
      </c>
      <c r="D20" s="54">
        <f>SUMIFS(Expense_Data!$G$5:$G$49,Expense_Data!$D$5:$D$49,$A20,Expense_Data!$B$5:$B$49,D$11)</f>
        <v/>
      </c>
      <c r="E20" s="54">
        <f>SUM(B20:D20)</f>
        <v/>
      </c>
      <c r="G20" t="inlineStr">
        <is>
          <t>QuickBooks Payroll</t>
        </is>
      </c>
      <c r="H20" s="54">
        <f>SUMIFS(Expense_Data!$G$5:$G$49,Expense_Data!$C$5:$C$49,G20)</f>
        <v/>
      </c>
    </row>
    <row r="21">
      <c r="A21" t="inlineStr">
        <is>
          <t>Vehicle Expense</t>
        </is>
      </c>
      <c r="B21" s="54">
        <f>SUMIFS(Expense_Data!$G$5:$G$49,Expense_Data!$D$5:$D$49,$A21,Expense_Data!$B$5:$B$49,B$11)</f>
        <v/>
      </c>
      <c r="C21" s="54">
        <f>SUMIFS(Expense_Data!$G$5:$G$49,Expense_Data!$D$5:$D$49,$A21,Expense_Data!$B$5:$B$49,C$11)</f>
        <v/>
      </c>
      <c r="D21" s="54">
        <f>SUMIFS(Expense_Data!$G$5:$G$49,Expense_Data!$D$5:$D$49,$A21,Expense_Data!$B$5:$B$49,D$11)</f>
        <v/>
      </c>
      <c r="E21" s="54">
        <f>SUM(B21:D21)</f>
        <v/>
      </c>
      <c r="G21" t="inlineStr">
        <is>
          <t>Verizon Business</t>
        </is>
      </c>
      <c r="H21" s="54">
        <f>SUMIFS(Expense_Data!$G$5:$G$49,Expense_Data!$C$5:$C$49,G21)</f>
        <v/>
      </c>
    </row>
    <row r="22">
      <c r="A22" t="inlineStr">
        <is>
          <t>Repairs &amp; Maintenance</t>
        </is>
      </c>
      <c r="B22" s="54">
        <f>SUMIFS(Expense_Data!$G$5:$G$49,Expense_Data!$D$5:$D$49,$A22,Expense_Data!$B$5:$B$49,B$11)</f>
        <v/>
      </c>
      <c r="C22" s="54">
        <f>SUMIFS(Expense_Data!$G$5:$G$49,Expense_Data!$D$5:$D$49,$A22,Expense_Data!$B$5:$B$49,C$11)</f>
        <v/>
      </c>
      <c r="D22" s="54">
        <f>SUMIFS(Expense_Data!$G$5:$G$49,Expense_Data!$D$5:$D$49,$A22,Expense_Data!$B$5:$B$49,D$11)</f>
        <v/>
      </c>
      <c r="E22" s="54">
        <f>SUM(B22:D22)</f>
        <v/>
      </c>
      <c r="G22" t="inlineStr">
        <is>
          <t>Virginia Office Supply</t>
        </is>
      </c>
      <c r="H22" s="54">
        <f>SUMIFS(Expense_Data!$G$5:$G$49,Expense_Data!$C$5:$C$49,G22)</f>
        <v/>
      </c>
    </row>
    <row r="23">
      <c r="A23" t="inlineStr">
        <is>
          <t>Recruiting</t>
        </is>
      </c>
      <c r="B23" s="54">
        <f>SUMIFS(Expense_Data!$G$5:$G$49,Expense_Data!$D$5:$D$49,$A23,Expense_Data!$B$5:$B$49,B$11)</f>
        <v/>
      </c>
      <c r="C23" s="54">
        <f>SUMIFS(Expense_Data!$G$5:$G$49,Expense_Data!$D$5:$D$49,$A23,Expense_Data!$B$5:$B$49,C$11)</f>
        <v/>
      </c>
      <c r="D23" s="54">
        <f>SUMIFS(Expense_Data!$G$5:$G$49,Expense_Data!$D$5:$D$49,$A23,Expense_Data!$B$5:$B$49,D$11)</f>
        <v/>
      </c>
      <c r="E23" s="54">
        <f>SUM(B23:D23)</f>
        <v/>
      </c>
      <c r="G23" t="inlineStr">
        <is>
          <t>FuelFleet Cards</t>
        </is>
      </c>
      <c r="H23" s="54">
        <f>SUMIFS(Expense_Data!$G$5:$G$49,Expense_Data!$C$5:$C$49,G23)</f>
        <v/>
      </c>
    </row>
    <row r="24">
      <c r="A24" t="inlineStr">
        <is>
          <t>Telecom</t>
        </is>
      </c>
      <c r="B24" s="54">
        <f>SUMIFS(Expense_Data!$G$5:$G$49,Expense_Data!$D$5:$D$49,$A24,Expense_Data!$B$5:$B$49,B$11)</f>
        <v/>
      </c>
      <c r="C24" s="54">
        <f>SUMIFS(Expense_Data!$G$5:$G$49,Expense_Data!$D$5:$D$49,$A24,Expense_Data!$B$5:$B$49,C$11)</f>
        <v/>
      </c>
      <c r="D24" s="54">
        <f>SUMIFS(Expense_Data!$G$5:$G$49,Expense_Data!$D$5:$D$49,$A24,Expense_Data!$B$5:$B$49,D$11)</f>
        <v/>
      </c>
      <c r="E24" s="54">
        <f>SUM(B24:D24)</f>
        <v/>
      </c>
      <c r="G24" t="inlineStr">
        <is>
          <t>Microsoft 365</t>
        </is>
      </c>
      <c r="H24" s="54">
        <f>SUMIFS(Expense_Data!$G$5:$G$49,Expense_Data!$C$5:$C$49,G24)</f>
        <v/>
      </c>
    </row>
    <row r="25">
      <c r="A25" s="47" t="inlineStr">
        <is>
          <t>Grand Total</t>
        </is>
      </c>
      <c r="B25" s="55">
        <f>SUM(B12:B24)</f>
        <v/>
      </c>
      <c r="C25" s="55">
        <f>SUM(C12:C24)</f>
        <v/>
      </c>
      <c r="D25" s="55">
        <f>SUM(D12:D24)</f>
        <v/>
      </c>
      <c r="E25" s="55">
        <f>SUM(E12:E24)</f>
        <v/>
      </c>
      <c r="G25" t="inlineStr">
        <is>
          <t>Skyline Janitorial</t>
        </is>
      </c>
      <c r="H25" s="54">
        <f>SUMIFS(Expense_Data!$G$5:$G$49,Expense_Data!$C$5:$C$49,G25)</f>
        <v/>
      </c>
    </row>
    <row r="26">
      <c r="G26" t="inlineStr">
        <is>
          <t>LinkedIn Jobs</t>
        </is>
      </c>
      <c r="H26" s="54">
        <f>SUMIFS(Expense_Data!$G$5:$G$49,Expense_Data!$C$5:$C$49,G26)</f>
        <v/>
      </c>
    </row>
    <row r="27">
      <c r="G27" t="inlineStr">
        <is>
          <t>Indeed</t>
        </is>
      </c>
      <c r="H27" s="54">
        <f>SUMIFS(Expense_Data!$G$5:$G$49,Expense_Data!$C$5:$C$49,G27)</f>
        <v/>
      </c>
    </row>
  </sheetData>
  <mergeCells count="2">
    <mergeCell ref="A2:L2"/>
    <mergeCell ref="A1:L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2026-07-15T18:52:02Z</dcterms:created>
  <dcterms:modified xmlns:dcterms="http://purl.org/dc/terms/" xmlns:xsi="http://www.w3.org/2001/XMLSchema-instance" xsi:type="dcterms:W3CDTF">2026-07-15T18:52:02Z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0x0101007FFCDA72B33F704B902DF05EFF11A127</vt:lpwstr>
  </property>
</Properties>
</file>