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5c95ccf0c3d47c3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18a194636ba4fe0"/>
    <x:sheet xmlns:r="http://schemas.openxmlformats.org/officeDocument/2006/relationships" name="Customer_Invoices" sheetId="2" r:id="R3d353c963a5d4067"/>
    <x:sheet xmlns:r="http://schemas.openxmlformats.org/officeDocument/2006/relationships" name="AR_Aging_Report" sheetId="3" r:id="R5713285aa14e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;[Red]($#,##0.00);-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318a194636ba4fe0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b4d8b38e0eae49ae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21b9f5c2bd784ff4" Type="http://schemas.openxmlformats.org/officeDocument/2006/relationships/theme" Target="/xl/theme/theme1.xml"/><Relationship Id="R3d353c963a5d4067" Type="http://schemas.openxmlformats.org/officeDocument/2006/relationships/worksheet" Target="/xl/worksheets/sheet2.xml"/><Relationship Id="R5713285aa14e415c" Type="http://schemas.openxmlformats.org/officeDocument/2006/relationships/worksheet" Target="/xl/worksheets/sheet3.xml"/><Relationship Id="R9447edd4a08142ff" Type="http://schemas.openxmlformats.org/officeDocument/2006/relationships/styles" Target="/xl/styles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ae1be8928b48e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Open AR</c:v>
          </c:tx>
          <c:cat>
            <c:strRef>
              <c:f>'AR_Aging_Report'!$A$9:$A$13</c:f>
              <c:strCache>
                <c:ptCount val="0"/>
              </c:strCache>
            </c:strRef>
          </c:cat>
          <c:val>
            <c:numRef>
              <c:f>'AR_Aging_Report'!$B$9:$B$13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ae1be8928b48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InvoiceTable" displayName="ARInvoiceTable" ref="A4:K34" headerRowCount="1">
  <x:tableColumns count="11">
    <x:tableColumn id="1" name="Customer"/>
    <x:tableColumn id="2" name="Invoice #"/>
    <x:tableColumn id="3" name="Invoice Date"/>
    <x:tableColumn id="4" name="Terms Days"/>
    <x:tableColumn id="5" name="Due Date"/>
    <x:tableColumn id="6" name="Original Amount"/>
    <x:tableColumn id="7" name="Payments Received"/>
    <x:tableColumn id="8" name="Open Balance"/>
    <x:tableColumn id="9" name="Days Past Due"/>
    <x:tableColumn id="10" name="Aging Bucket"/>
    <x:tableColumn id="11" name="Collec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4848ee5d6343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3f7552512469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AR Aging Report Template</x:v>
      </x:c>
    </x:row>
    <x:row r="2" ht="24" customHeight="1">
      <x:c r="A2" s="13" t="str">
        <x:v>Template for calculating customer receivable balances and aging buckets by invoice.</x:v>
      </x:c>
    </x:row>
    <x:row r="4" ht="24" customHeight="1">
      <x:c r="A4" s="22" t="str">
        <x:v>Section</x:v>
      </x:c>
      <x:c r="B4" s="22" t="str">
        <x:v>Details</x:v>
      </x:c>
    </x:row>
    <x:row r="5">
      <x:c r="A5" s="30" t="str">
        <x:v>Purpose</x:v>
      </x:c>
      <x:c r="B5" s="35" t="str">
        <x:v>Template for calculating customer receivable balances and aging buckets by invoice.</x:v>
      </x:c>
    </x:row>
    <x:row r="6">
      <x:c r="A6" s="30" t="str">
        <x:v>How to Use</x:v>
      </x:c>
      <x:c r="B6" s="35" t="str">
        <x:v>1. Update the As Of Date on the AR_Aging_Report sheet.
2. Enter or paste customer invoices into Customer_Invoices.
3. Enter payments received against each invoice.
4. Review Days Past Due and Aging Bucket formulas.
5. Use the Customer Summary to identify overdue customers for collection follow-up.</x:v>
      </x:c>
    </x:row>
    <x:row r="7">
      <x:c r="A7" s="30" t="str">
        <x:v>Expected Output</x:v>
      </x:c>
      <x:c r="B7" s="35" t="str">
        <x:v>• Current, 1-30, 31-60, 61-90, and 90+ balances
• Open balance by customer
• Past-due collection priority</x:v>
      </x:c>
    </x:row>
    <x:row r="8">
      <x:c r="A8" s="30" t="str">
        <x:v>Student Rule</x:v>
      </x:c>
      <x:c r="B8" s="35" t="str">
        <x:v>Use the sample data first. Then replace the sample rows with your assigned company data. Do not overwrite formula cells unless your instructor tells you to.</x:v>
      </x:c>
    </x:row>
    <x:row r="9">
      <x:c r="A9" s="30" t="str">
        <x:v>Skarion Simulation</x:v>
      </x:c>
      <x:c r="B9" s="35" t="str">
        <x:v>These templates support the Skarion Manufacturing LLC accounting job simulation and can be used as student handouts.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0" hidden="0" customWidth="1"/>
    <x:col min="5" max="5" width="12" hidden="0" customWidth="1"/>
    <x:col min="6" max="6" width="15" hidden="0" customWidth="1"/>
    <x:col min="7" max="7" width="16" hidden="0" customWidth="1"/>
    <x:col min="8" max="8" width="15" hidden="0" customWidth="1"/>
    <x:col min="9" max="9" width="13" hidden="0" customWidth="1"/>
    <x:col min="10" max="10" width="14" hidden="0" customWidth="1"/>
    <x:col min="11" max="11" width="35" hidden="0" customWidth="1"/>
  </x:cols>
  <x:sheetData>
    <x:row r="1" ht="28" customHeight="1">
      <x:c r="A1" s="5" t="str">
        <x:v>Customer Invoice Detail</x:v>
      </x:c>
    </x:row>
    <x:row r="2" ht="24" customHeight="1">
      <x:c r="A2" s="13" t="str">
        <x:v>Use this as the AR subledger input sheet.</x:v>
      </x:c>
    </x:row>
    <x:row r="4" ht="24" customHeight="1">
      <x:c r="A4" s="22" t="str">
        <x:v>Customer</x:v>
      </x:c>
      <x:c r="B4" s="22" t="str">
        <x:v>Invoice #</x:v>
      </x:c>
      <x:c r="C4" s="22" t="str">
        <x:v>Invoice Date</x:v>
      </x:c>
      <x:c r="D4" s="22" t="str">
        <x:v>Terms Days</x:v>
      </x:c>
      <x:c r="E4" s="22" t="str">
        <x:v>Due Date</x:v>
      </x:c>
      <x:c r="F4" s="22" t="str">
        <x:v>Original Amount</x:v>
      </x:c>
      <x:c r="G4" s="22" t="str">
        <x:v>Payments Received</x:v>
      </x:c>
      <x:c r="H4" s="22" t="str">
        <x:v>Open Balance</x:v>
      </x:c>
      <x:c r="I4" s="22" t="str">
        <x:v>Days Past Due</x:v>
      </x:c>
      <x:c r="J4" s="22" t="str">
        <x:v>Aging Bucket</x:v>
      </x:c>
      <x:c r="K4" s="22" t="str">
        <x:v>Collection Notes</x:v>
      </x:c>
    </x:row>
    <x:row r="5">
      <x:c r="A5" s="34" t="str">
        <x:v>Blue Ridge Retail Fixtures</x:v>
      </x:c>
      <x:c r="B5" s="34" t="str">
        <x:v>INV-26001</x:v>
      </x:c>
      <x:c r="C5" s="44" t="n">
        <x:v>46028</x:v>
      </x:c>
      <x:c r="D5" s="34" t="n">
        <x:v>30</x:v>
      </x:c>
      <x:c r="E5" s="44" t="n">
        <x:f>C5+D5</x:f>
        <x:v>46058</x:v>
      </x:c>
      <x:c r="F5" s="45" t="n">
        <x:v>12500</x:v>
      </x:c>
      <x:c r="G5" s="45" t="n">
        <x:v>7000</x:v>
      </x:c>
      <x:c r="H5" s="45" t="n">
        <x:f>MAX(0,F5-G5)</x:f>
        <x:v>5500</x:v>
      </x:c>
      <x:c r="I5" s="46" t="n">
        <x:f>IF(H5=0,0,MAX(0,AR_Aging_Report!$B$4-E5))</x:f>
        <x:v>54</x:v>
      </x:c>
      <x:c r="J5" s="34" t="str">
        <x:f>IF(H5=0,"Paid",IF(I5=0,"Current",IF(I5&lt;=30,"1-30",IF(I5&lt;=60,"31-60",IF(I5&lt;=90,"61-90","90+")))))</x:f>
        <x:v>31-60</x:v>
      </x:c>
      <x:c r="K5" s="34" t="str"/>
    </x:row>
    <x:row r="6">
      <x:c r="A6" s="34" t="str">
        <x:v>Shenandoah Builders Supply</x:v>
      </x:c>
      <x:c r="B6" s="34" t="str">
        <x:v>INV-26002</x:v>
      </x:c>
      <x:c r="C6" s="44" t="n">
        <x:v>46031</x:v>
      </x:c>
      <x:c r="D6" s="34" t="n">
        <x:v>30</x:v>
      </x:c>
      <x:c r="E6" s="44" t="n">
        <x:f>C6+D6</x:f>
        <x:v>46061</x:v>
      </x:c>
      <x:c r="F6" s="45" t="n">
        <x:v>18500</x:v>
      </x:c>
      <x:c r="G6" s="45" t="n">
        <x:v>18500</x:v>
      </x:c>
      <x:c r="H6" s="45" t="n">
        <x:f>MAX(0,F6-G6)</x:f>
        <x:v>0</x:v>
      </x:c>
      <x:c r="I6" s="46" t="n">
        <x:f>IF(H6=0,0,MAX(0,AR_Aging_Report!$B$4-E6))</x:f>
        <x:v>0</x:v>
      </x:c>
      <x:c r="J6" s="34" t="str">
        <x:f>IF(H6=0,"Paid",IF(I6=0,"Current",IF(I6&lt;=30,"1-30",IF(I6&lt;=60,"31-60",IF(I6&lt;=90,"61-90","90+")))))</x:f>
        <x:v>Paid</x:v>
      </x:c>
      <x:c r="K6" s="34" t="str"/>
    </x:row>
    <x:row r="7">
      <x:c r="A7" s="34" t="str">
        <x:v>Cardinal HVAC Components</x:v>
      </x:c>
      <x:c r="B7" s="34" t="str">
        <x:v>INV-26003</x:v>
      </x:c>
      <x:c r="C7" s="44" t="n">
        <x:v>46036</x:v>
      </x:c>
      <x:c r="D7" s="34" t="n">
        <x:v>15</x:v>
      </x:c>
      <x:c r="E7" s="44" t="n">
        <x:f>C7+D7</x:f>
        <x:v>46051</x:v>
      </x:c>
      <x:c r="F7" s="45" t="n">
        <x:v>9400</x:v>
      </x:c>
      <x:c r="G7" s="45" t="n">
        <x:v>5000</x:v>
      </x:c>
      <x:c r="H7" s="45" t="n">
        <x:f>MAX(0,F7-G7)</x:f>
        <x:v>4400</x:v>
      </x:c>
      <x:c r="I7" s="46" t="n">
        <x:f>IF(H7=0,0,MAX(0,AR_Aging_Report!$B$4-E7))</x:f>
        <x:v>61</x:v>
      </x:c>
      <x:c r="J7" s="34" t="str">
        <x:f>IF(H7=0,"Paid",IF(I7=0,"Current",IF(I7&lt;=30,"1-30",IF(I7&lt;=60,"31-60",IF(I7&lt;=90,"61-90","90+")))))</x:f>
        <x:v>61-90</x:v>
      </x:c>
      <x:c r="K7" s="34" t="str"/>
    </x:row>
    <x:row r="8">
      <x:c r="A8" s="34" t="str">
        <x:v>Coastal Cabinet Group</x:v>
      </x:c>
      <x:c r="B8" s="34" t="str">
        <x:v>INV-26004</x:v>
      </x:c>
      <x:c r="C8" s="44" t="n">
        <x:v>46042</x:v>
      </x:c>
      <x:c r="D8" s="34" t="n">
        <x:v>30</x:v>
      </x:c>
      <x:c r="E8" s="44" t="n">
        <x:f>C8+D8</x:f>
        <x:v>46072</x:v>
      </x:c>
      <x:c r="F8" s="45" t="n">
        <x:v>7600</x:v>
      </x:c>
      <x:c r="G8" s="45" t="n">
        <x:v>0</x:v>
      </x:c>
      <x:c r="H8" s="45" t="n">
        <x:f>MAX(0,F8-G8)</x:f>
        <x:v>7600</x:v>
      </x:c>
      <x:c r="I8" s="46" t="n">
        <x:f>IF(H8=0,0,MAX(0,AR_Aging_Report!$B$4-E8))</x:f>
        <x:v>40</x:v>
      </x:c>
      <x:c r="J8" s="34" t="str">
        <x:f>IF(H8=0,"Paid",IF(I8=0,"Current",IF(I8&lt;=30,"1-30",IF(I8&lt;=60,"31-60",IF(I8&lt;=90,"61-90","90+")))))</x:f>
        <x:v>31-60</x:v>
      </x:c>
      <x:c r="K8" s="34" t="str"/>
    </x:row>
    <x:row r="9">
      <x:c r="A9" s="34" t="str">
        <x:v>Metro Equipment Services</x:v>
      </x:c>
      <x:c r="B9" s="34" t="str">
        <x:v>INV-26005</x:v>
      </x:c>
      <x:c r="C9" s="44" t="n">
        <x:v>46047</x:v>
      </x:c>
      <x:c r="D9" s="34" t="n">
        <x:v>30</x:v>
      </x:c>
      <x:c r="E9" s="44" t="n">
        <x:f>C9+D9</x:f>
        <x:v>46077</x:v>
      </x:c>
      <x:c r="F9" s="45" t="n">
        <x:v>14200</x:v>
      </x:c>
      <x:c r="G9" s="45" t="n">
        <x:v>8000</x:v>
      </x:c>
      <x:c r="H9" s="45" t="n">
        <x:f>MAX(0,F9-G9)</x:f>
        <x:v>6200</x:v>
      </x:c>
      <x:c r="I9" s="46" t="n">
        <x:f>IF(H9=0,0,MAX(0,AR_Aging_Report!$B$4-E9))</x:f>
        <x:v>35</x:v>
      </x:c>
      <x:c r="J9" s="34" t="str">
        <x:f>IF(H9=0,"Paid",IF(I9=0,"Current",IF(I9&lt;=30,"1-30",IF(I9&lt;=60,"31-60",IF(I9&lt;=90,"61-90","90+")))))</x:f>
        <x:v>31-60</x:v>
      </x:c>
      <x:c r="K9" s="34" t="str"/>
    </x:row>
    <x:row r="10">
      <x:c r="A10" s="34" t="str">
        <x:v>Old Dominion Components</x:v>
      </x:c>
      <x:c r="B10" s="34" t="str">
        <x:v>INV-26006</x:v>
      </x:c>
      <x:c r="C10" s="44" t="n">
        <x:v>46054</x:v>
      </x:c>
      <x:c r="D10" s="34" t="n">
        <x:v>30</x:v>
      </x:c>
      <x:c r="E10" s="44" t="n">
        <x:f>C10+D10</x:f>
        <x:v>46084</x:v>
      </x:c>
      <x:c r="F10" s="45" t="n">
        <x:v>22500</x:v>
      </x:c>
      <x:c r="G10" s="45" t="n">
        <x:v>15000</x:v>
      </x:c>
      <x:c r="H10" s="45" t="n">
        <x:f>MAX(0,F10-G10)</x:f>
        <x:v>7500</x:v>
      </x:c>
      <x:c r="I10" s="46" t="n">
        <x:f>IF(H10=0,0,MAX(0,AR_Aging_Report!$B$4-E10))</x:f>
        <x:v>28</x:v>
      </x:c>
      <x:c r="J10" s="34" t="str">
        <x:f>IF(H10=0,"Paid",IF(I10=0,"Current",IF(I10&lt;=30,"1-30",IF(I10&lt;=60,"31-60",IF(I10&lt;=90,"61-90","90+")))))</x:f>
        <x:v>1-30</x:v>
      </x:c>
      <x:c r="K10" s="34" t="str"/>
    </x:row>
    <x:row r="11">
      <x:c r="A11" s="34" t="str">
        <x:v>Potomac Builder Direct</x:v>
      </x:c>
      <x:c r="B11" s="34" t="str">
        <x:v>INV-26007</x:v>
      </x:c>
      <x:c r="C11" s="44" t="n">
        <x:v>46059</x:v>
      </x:c>
      <x:c r="D11" s="34" t="n">
        <x:v>30</x:v>
      </x:c>
      <x:c r="E11" s="44" t="n">
        <x:f>C11+D11</x:f>
        <x:v>46089</x:v>
      </x:c>
      <x:c r="F11" s="45" t="n">
        <x:v>5600</x:v>
      </x:c>
      <x:c r="G11" s="45" t="n">
        <x:v>5600</x:v>
      </x:c>
      <x:c r="H11" s="45" t="n">
        <x:f>MAX(0,F11-G11)</x:f>
        <x:v>0</x:v>
      </x:c>
      <x:c r="I11" s="46" t="n">
        <x:f>IF(H11=0,0,MAX(0,AR_Aging_Report!$B$4-E11))</x:f>
        <x:v>0</x:v>
      </x:c>
      <x:c r="J11" s="34" t="str">
        <x:f>IF(H11=0,"Paid",IF(I11=0,"Current",IF(I11&lt;=30,"1-30",IF(I11&lt;=60,"31-60",IF(I11&lt;=90,"61-90","90+")))))</x:f>
        <x:v>Paid</x:v>
      </x:c>
      <x:c r="K11" s="34" t="str"/>
    </x:row>
    <x:row r="12">
      <x:c r="A12" s="34" t="str">
        <x:v>Harbor Fixtures LLC</x:v>
      </x:c>
      <x:c r="B12" s="34" t="str">
        <x:v>INV-26008</x:v>
      </x:c>
      <x:c r="C12" s="44" t="n">
        <x:v>46062</x:v>
      </x:c>
      <x:c r="D12" s="34" t="n">
        <x:v>15</x:v>
      </x:c>
      <x:c r="E12" s="44" t="n">
        <x:f>C12+D12</x:f>
        <x:v>46077</x:v>
      </x:c>
      <x:c r="F12" s="45" t="n">
        <x:v>8750</x:v>
      </x:c>
      <x:c r="G12" s="45" t="n">
        <x:v>0</x:v>
      </x:c>
      <x:c r="H12" s="45" t="n">
        <x:f>MAX(0,F12-G12)</x:f>
        <x:v>8750</x:v>
      </x:c>
      <x:c r="I12" s="46" t="n">
        <x:f>IF(H12=0,0,MAX(0,AR_Aging_Report!$B$4-E12))</x:f>
        <x:v>35</x:v>
      </x:c>
      <x:c r="J12" s="34" t="str">
        <x:f>IF(H12=0,"Paid",IF(I12=0,"Current",IF(I12&lt;=30,"1-30",IF(I12&lt;=60,"31-60",IF(I12&lt;=90,"61-90","90+")))))</x:f>
        <x:v>31-60</x:v>
      </x:c>
      <x:c r="K12" s="34" t="str"/>
    </x:row>
    <x:row r="13">
      <x:c r="A13" s="34" t="str">
        <x:v>Summit Contractors Group</x:v>
      </x:c>
      <x:c r="B13" s="34" t="str">
        <x:v>INV-26009</x:v>
      </x:c>
      <x:c r="C13" s="44" t="n">
        <x:v>46066</x:v>
      </x:c>
      <x:c r="D13" s="34" t="n">
        <x:v>30</x:v>
      </x:c>
      <x:c r="E13" s="44" t="n">
        <x:f>C13+D13</x:f>
        <x:v>46096</x:v>
      </x:c>
      <x:c r="F13" s="45" t="n">
        <x:v>11300</x:v>
      </x:c>
      <x:c r="G13" s="45" t="n">
        <x:v>3000</x:v>
      </x:c>
      <x:c r="H13" s="45" t="n">
        <x:f>MAX(0,F13-G13)</x:f>
        <x:v>8300</x:v>
      </x:c>
      <x:c r="I13" s="46" t="n">
        <x:f>IF(H13=0,0,MAX(0,AR_Aging_Report!$B$4-E13))</x:f>
        <x:v>16</x:v>
      </x:c>
      <x:c r="J13" s="34" t="str">
        <x:f>IF(H13=0,"Paid",IF(I13=0,"Current",IF(I13&lt;=30,"1-30",IF(I13&lt;=60,"31-60",IF(I13&lt;=90,"61-90","90+")))))</x:f>
        <x:v>1-30</x:v>
      </x:c>
      <x:c r="K13" s="34" t="str"/>
    </x:row>
    <x:row r="14">
      <x:c r="A14" s="34" t="str">
        <x:v>Virginia Transit Parts</x:v>
      </x:c>
      <x:c r="B14" s="34" t="str">
        <x:v>INV-26010</x:v>
      </x:c>
      <x:c r="C14" s="44" t="n">
        <x:v>46071</x:v>
      </x:c>
      <x:c r="D14" s="34" t="n">
        <x:v>45</x:v>
      </x:c>
      <x:c r="E14" s="44" t="n">
        <x:f>C14+D14</x:f>
        <x:v>46116</x:v>
      </x:c>
      <x:c r="F14" s="45" t="n">
        <x:v>19500</x:v>
      </x:c>
      <x:c r="G14" s="45" t="n">
        <x:v>0</x:v>
      </x:c>
      <x:c r="H14" s="45" t="n">
        <x:f>MAX(0,F14-G14)</x:f>
        <x:v>19500</x:v>
      </x:c>
      <x:c r="I14" s="46" t="n">
        <x:f>IF(H14=0,0,MAX(0,AR_Aging_Report!$B$4-E14))</x:f>
        <x:v>0</x:v>
      </x:c>
      <x:c r="J14" s="34" t="str">
        <x:f>IF(H14=0,"Paid",IF(I14=0,"Current",IF(I14&lt;=30,"1-30",IF(I14&lt;=60,"31-60",IF(I14&lt;=90,"61-90","90+")))))</x:f>
        <x:v>Current</x:v>
      </x:c>
      <x:c r="K14" s="34" t="str"/>
    </x:row>
    <x:row r="15">
      <x:c r="A15" s="34" t="str">
        <x:v>Appalachian Retail Systems</x:v>
      </x:c>
      <x:c r="B15" s="34" t="str">
        <x:v>INV-26011</x:v>
      </x:c>
      <x:c r="C15" s="44" t="n">
        <x:v>46074</x:v>
      </x:c>
      <x:c r="D15" s="34" t="n">
        <x:v>30</x:v>
      </x:c>
      <x:c r="E15" s="44" t="n">
        <x:f>C15+D15</x:f>
        <x:v>46104</x:v>
      </x:c>
      <x:c r="F15" s="45" t="n">
        <x:v>6400</x:v>
      </x:c>
      <x:c r="G15" s="45" t="n">
        <x:v>0</x:v>
      </x:c>
      <x:c r="H15" s="45" t="n">
        <x:f>MAX(0,F15-G15)</x:f>
        <x:v>6400</x:v>
      </x:c>
      <x:c r="I15" s="46" t="n">
        <x:f>IF(H15=0,0,MAX(0,AR_Aging_Report!$B$4-E15))</x:f>
        <x:v>8</x:v>
      </x:c>
      <x:c r="J15" s="34" t="str">
        <x:f>IF(H15=0,"Paid",IF(I15=0,"Current",IF(I15&lt;=30,"1-30",IF(I15&lt;=60,"31-60",IF(I15&lt;=90,"61-90","90+")))))</x:f>
        <x:v>1-30</x:v>
      </x:c>
      <x:c r="K15" s="34" t="str"/>
    </x:row>
    <x:row r="16">
      <x:c r="A16" s="34" t="str">
        <x:v>Chesapeake Fabricators</x:v>
      </x:c>
      <x:c r="B16" s="34" t="str">
        <x:v>INV-26012</x:v>
      </x:c>
      <x:c r="C16" s="44" t="n">
        <x:v>46080</x:v>
      </x:c>
      <x:c r="D16" s="34" t="n">
        <x:v>30</x:v>
      </x:c>
      <x:c r="E16" s="44" t="n">
        <x:f>C16+D16</x:f>
        <x:v>46110</x:v>
      </x:c>
      <x:c r="F16" s="45" t="n">
        <x:v>15800</x:v>
      </x:c>
      <x:c r="G16" s="45" t="n">
        <x:v>7800</x:v>
      </x:c>
      <x:c r="H16" s="45" t="n">
        <x:f>MAX(0,F16-G16)</x:f>
        <x:v>8000</x:v>
      </x:c>
      <x:c r="I16" s="46" t="n">
        <x:f>IF(H16=0,0,MAX(0,AR_Aging_Report!$B$4-E16))</x:f>
        <x:v>2</x:v>
      </x:c>
      <x:c r="J16" s="34" t="str">
        <x:f>IF(H16=0,"Paid",IF(I16=0,"Current",IF(I16&lt;=30,"1-30",IF(I16&lt;=60,"31-60",IF(I16&lt;=90,"61-90","90+")))))</x:f>
        <x:v>1-30</x:v>
      </x:c>
      <x:c r="K16" s="34" t="str"/>
    </x:row>
    <x:row r="17">
      <x:c r="A17" s="34" t="str">
        <x:v>Piedmont Medical Labs</x:v>
      </x:c>
      <x:c r="B17" s="34" t="str">
        <x:v>INV-26013</x:v>
      </x:c>
      <x:c r="C17" s="44" t="n">
        <x:v>46083</x:v>
      </x:c>
      <x:c r="D17" s="34" t="n">
        <x:v>30</x:v>
      </x:c>
      <x:c r="E17" s="44" t="n">
        <x:f>C17+D17</x:f>
        <x:v>46113</x:v>
      </x:c>
      <x:c r="F17" s="45" t="n">
        <x:v>7200</x:v>
      </x:c>
      <x:c r="G17" s="45" t="n">
        <x:v>0</x:v>
      </x:c>
      <x:c r="H17" s="45" t="n">
        <x:f>MAX(0,F17-G17)</x:f>
        <x:v>7200</x:v>
      </x:c>
      <x:c r="I17" s="46" t="n">
        <x:f>IF(H17=0,0,MAX(0,AR_Aging_Report!$B$4-E17))</x:f>
        <x:v>0</x:v>
      </x:c>
      <x:c r="J17" s="34" t="str">
        <x:f>IF(H17=0,"Paid",IF(I17=0,"Current",IF(I17&lt;=30,"1-30",IF(I17&lt;=60,"31-60",IF(I17&lt;=90,"61-90","90+")))))</x:f>
        <x:v>Current</x:v>
      </x:c>
      <x:c r="K17" s="34" t="str"/>
    </x:row>
    <x:row r="18">
      <x:c r="A18" s="34" t="str">
        <x:v>Arlington Property Services</x:v>
      </x:c>
      <x:c r="B18" s="34" t="str">
        <x:v>INV-26014</x:v>
      </x:c>
      <x:c r="C18" s="44" t="n">
        <x:v>46086</x:v>
      </x:c>
      <x:c r="D18" s="34" t="n">
        <x:v>15</x:v>
      </x:c>
      <x:c r="E18" s="44" t="n">
        <x:f>C18+D18</x:f>
        <x:v>46101</x:v>
      </x:c>
      <x:c r="F18" s="45" t="n">
        <x:v>4200</x:v>
      </x:c>
      <x:c r="G18" s="45" t="n">
        <x:v>0</x:v>
      </x:c>
      <x:c r="H18" s="45" t="n">
        <x:f>MAX(0,F18-G18)</x:f>
        <x:v>4200</x:v>
      </x:c>
      <x:c r="I18" s="46" t="n">
        <x:f>IF(H18=0,0,MAX(0,AR_Aging_Report!$B$4-E18))</x:f>
        <x:v>11</x:v>
      </x:c>
      <x:c r="J18" s="34" t="str">
        <x:f>IF(H18=0,"Paid",IF(I18=0,"Current",IF(I18&lt;=30,"1-30",IF(I18&lt;=60,"31-60",IF(I18&lt;=90,"61-90","90+")))))</x:f>
        <x:v>1-30</x:v>
      </x:c>
      <x:c r="K18" s="34" t="str"/>
    </x:row>
    <x:row r="19">
      <x:c r="A19" s="34" t="str">
        <x:v>Roanoke Industrial Supply</x:v>
      </x:c>
      <x:c r="B19" s="34" t="str">
        <x:v>INV-26015</x:v>
      </x:c>
      <x:c r="C19" s="44" t="n">
        <x:v>46089</x:v>
      </x:c>
      <x:c r="D19" s="34" t="n">
        <x:v>30</x:v>
      </x:c>
      <x:c r="E19" s="44" t="n">
        <x:f>C19+D19</x:f>
        <x:v>46119</x:v>
      </x:c>
      <x:c r="F19" s="45" t="n">
        <x:v>13150</x:v>
      </x:c>
      <x:c r="G19" s="45" t="n">
        <x:v>0</x:v>
      </x:c>
      <x:c r="H19" s="45" t="n">
        <x:f>MAX(0,F19-G19)</x:f>
        <x:v>13150</x:v>
      </x:c>
      <x:c r="I19" s="46" t="n">
        <x:f>IF(H19=0,0,MAX(0,AR_Aging_Report!$B$4-E19))</x:f>
        <x:v>0</x:v>
      </x:c>
      <x:c r="J19" s="34" t="str">
        <x:f>IF(H19=0,"Paid",IF(I19=0,"Current",IF(I19&lt;=30,"1-30",IF(I19&lt;=60,"31-60",IF(I19&lt;=90,"61-90","90+")))))</x:f>
        <x:v>Current</x:v>
      </x:c>
      <x:c r="K19" s="34" t="str"/>
    </x:row>
    <x:row r="20">
      <x:c r="A20" s="34" t="str">
        <x:v>James River Office Works</x:v>
      </x:c>
      <x:c r="B20" s="34" t="str">
        <x:v>INV-26016</x:v>
      </x:c>
      <x:c r="C20" s="44" t="n">
        <x:v>46091</x:v>
      </x:c>
      <x:c r="D20" s="34" t="n">
        <x:v>30</x:v>
      </x:c>
      <x:c r="E20" s="44" t="n">
        <x:f>C20+D20</x:f>
        <x:v>46121</x:v>
      </x:c>
      <x:c r="F20" s="45" t="n">
        <x:v>5800</x:v>
      </x:c>
      <x:c r="G20" s="45" t="n">
        <x:v>0</x:v>
      </x:c>
      <x:c r="H20" s="45" t="n">
        <x:f>MAX(0,F20-G20)</x:f>
        <x:v>5800</x:v>
      </x:c>
      <x:c r="I20" s="46" t="n">
        <x:f>IF(H20=0,0,MAX(0,AR_Aging_Report!$B$4-E20))</x:f>
        <x:v>0</x:v>
      </x:c>
      <x:c r="J20" s="34" t="str">
        <x:f>IF(H20=0,"Paid",IF(I20=0,"Current",IF(I20&lt;=30,"1-30",IF(I20&lt;=60,"31-60",IF(I20&lt;=90,"61-90","90+")))))</x:f>
        <x:v>Current</x:v>
      </x:c>
      <x:c r="K20" s="34" t="str"/>
    </x:row>
    <x:row r="21">
      <x:c r="A21" s="34" t="str">
        <x:v>Norfolk Facility Group</x:v>
      </x:c>
      <x:c r="B21" s="34" t="str">
        <x:v>INV-26017</x:v>
      </x:c>
      <x:c r="C21" s="44" t="n">
        <x:v>46093</x:v>
      </x:c>
      <x:c r="D21" s="34" t="n">
        <x:v>30</x:v>
      </x:c>
      <x:c r="E21" s="44" t="n">
        <x:f>C21+D21</x:f>
        <x:v>46123</x:v>
      </x:c>
      <x:c r="F21" s="45" t="n">
        <x:v>9950</x:v>
      </x:c>
      <x:c r="G21" s="45" t="n">
        <x:v>0</x:v>
      </x:c>
      <x:c r="H21" s="45" t="n">
        <x:f>MAX(0,F21-G21)</x:f>
        <x:v>9950</x:v>
      </x:c>
      <x:c r="I21" s="46" t="n">
        <x:f>IF(H21=0,0,MAX(0,AR_Aging_Report!$B$4-E21))</x:f>
        <x:v>0</x:v>
      </x:c>
      <x:c r="J21" s="34" t="str">
        <x:f>IF(H21=0,"Paid",IF(I21=0,"Current",IF(I21&lt;=30,"1-30",IF(I21&lt;=60,"31-60",IF(I21&lt;=90,"61-90","90+")))))</x:f>
        <x:v>Current</x:v>
      </x:c>
      <x:c r="K21" s="34" t="str"/>
    </x:row>
    <x:row r="22">
      <x:c r="A22" s="34" t="str">
        <x:v>Richmond Contract Furniture</x:v>
      </x:c>
      <x:c r="B22" s="34" t="str">
        <x:v>INV-26018</x:v>
      </x:c>
      <x:c r="C22" s="44" t="n">
        <x:v>46094</x:v>
      </x:c>
      <x:c r="D22" s="34" t="n">
        <x:v>30</x:v>
      </x:c>
      <x:c r="E22" s="44" t="n">
        <x:f>C22+D22</x:f>
        <x:v>46124</x:v>
      </x:c>
      <x:c r="F22" s="45" t="n">
        <x:v>16200</x:v>
      </x:c>
      <x:c r="G22" s="45" t="n">
        <x:v>0</x:v>
      </x:c>
      <x:c r="H22" s="45" t="n">
        <x:f>MAX(0,F22-G22)</x:f>
        <x:v>16200</x:v>
      </x:c>
      <x:c r="I22" s="46" t="n">
        <x:f>IF(H22=0,0,MAX(0,AR_Aging_Report!$B$4-E22))</x:f>
        <x:v>0</x:v>
      </x:c>
      <x:c r="J22" s="34" t="str">
        <x:f>IF(H22=0,"Paid",IF(I22=0,"Current",IF(I22&lt;=30,"1-30",IF(I22&lt;=60,"31-60",IF(I22&lt;=90,"61-90","90+")))))</x:f>
        <x:v>Current</x:v>
      </x:c>
      <x:c r="K22" s="34" t="str"/>
    </x:row>
    <x:row r="23">
      <x:c r="A23" s="34" t="str">
        <x:v>Loudoun County Remodelers</x:v>
      </x:c>
      <x:c r="B23" s="34" t="str">
        <x:v>INV-26019</x:v>
      </x:c>
      <x:c r="C23" s="44" t="n">
        <x:v>46095</x:v>
      </x:c>
      <x:c r="D23" s="34" t="n">
        <x:v>30</x:v>
      </x:c>
      <x:c r="E23" s="44" t="n">
        <x:f>C23+D23</x:f>
        <x:v>46125</x:v>
      </x:c>
      <x:c r="F23" s="45" t="n">
        <x:v>3800</x:v>
      </x:c>
      <x:c r="G23" s="45" t="n">
        <x:v>0</x:v>
      </x:c>
      <x:c r="H23" s="45" t="n">
        <x:f>MAX(0,F23-G23)</x:f>
        <x:v>3800</x:v>
      </x:c>
      <x:c r="I23" s="46" t="n">
        <x:f>IF(H23=0,0,MAX(0,AR_Aging_Report!$B$4-E23))</x:f>
        <x:v>0</x:v>
      </x:c>
      <x:c r="J23" s="34" t="str">
        <x:f>IF(H23=0,"Paid",IF(I23=0,"Current",IF(I23&lt;=30,"1-30",IF(I23&lt;=60,"31-60",IF(I23&lt;=90,"61-90","90+")))))</x:f>
        <x:v>Current</x:v>
      </x:c>
      <x:c r="K23" s="34" t="str"/>
    </x:row>
    <x:row r="24">
      <x:c r="A24" s="34" t="str">
        <x:v>Blue Ridge Retail Fixtures</x:v>
      </x:c>
      <x:c r="B24" s="34" t="str">
        <x:v>INV-26020</x:v>
      </x:c>
      <x:c r="C24" s="44" t="n">
        <x:v>46098</x:v>
      </x:c>
      <x:c r="D24" s="34" t="n">
        <x:v>30</x:v>
      </x:c>
      <x:c r="E24" s="44" t="n">
        <x:f>C24+D24</x:f>
        <x:v>46128</x:v>
      </x:c>
      <x:c r="F24" s="45" t="n">
        <x:v>6850</x:v>
      </x:c>
      <x:c r="G24" s="45" t="n">
        <x:v>0</x:v>
      </x:c>
      <x:c r="H24" s="45" t="n">
        <x:f>MAX(0,F24-G24)</x:f>
        <x:v>6850</x:v>
      </x:c>
      <x:c r="I24" s="46" t="n">
        <x:f>IF(H24=0,0,MAX(0,AR_Aging_Report!$B$4-E24))</x:f>
        <x:v>0</x:v>
      </x:c>
      <x:c r="J24" s="34" t="str">
        <x:f>IF(H24=0,"Paid",IF(I24=0,"Current",IF(I24&lt;=30,"1-30",IF(I24&lt;=60,"31-60",IF(I24&lt;=90,"61-90","90+")))))</x:f>
        <x:v>Current</x:v>
      </x:c>
      <x:c r="K24" s="34" t="str"/>
    </x:row>
    <x:row r="25">
      <x:c r="A25" s="34" t="str">
        <x:v>Shenandoah Builders Supply</x:v>
      </x:c>
      <x:c r="B25" s="34" t="str">
        <x:v>INV-26021</x:v>
      </x:c>
      <x:c r="C25" s="44" t="n">
        <x:v>46099</x:v>
      </x:c>
      <x:c r="D25" s="34" t="n">
        <x:v>30</x:v>
      </x:c>
      <x:c r="E25" s="44" t="n">
        <x:f>C25+D25</x:f>
        <x:v>46129</x:v>
      </x:c>
      <x:c r="F25" s="45" t="n">
        <x:v>9200</x:v>
      </x:c>
      <x:c r="G25" s="45" t="n">
        <x:v>0</x:v>
      </x:c>
      <x:c r="H25" s="45" t="n">
        <x:f>MAX(0,F25-G25)</x:f>
        <x:v>9200</x:v>
      </x:c>
      <x:c r="I25" s="46" t="n">
        <x:f>IF(H25=0,0,MAX(0,AR_Aging_Report!$B$4-E25))</x:f>
        <x:v>0</x:v>
      </x:c>
      <x:c r="J25" s="34" t="str">
        <x:f>IF(H25=0,"Paid",IF(I25=0,"Current",IF(I25&lt;=30,"1-30",IF(I25&lt;=60,"31-60",IF(I25&lt;=90,"61-90","90+")))))</x:f>
        <x:v>Current</x:v>
      </x:c>
      <x:c r="K25" s="34" t="str"/>
    </x:row>
    <x:row r="26">
      <x:c r="A26" s="34" t="str">
        <x:v>Metro Equipment Services</x:v>
      </x:c>
      <x:c r="B26" s="34" t="str">
        <x:v>INV-26022</x:v>
      </x:c>
      <x:c r="C26" s="44" t="n">
        <x:v>46101</x:v>
      </x:c>
      <x:c r="D26" s="34" t="n">
        <x:v>30</x:v>
      </x:c>
      <x:c r="E26" s="44" t="n">
        <x:f>C26+D26</x:f>
        <x:v>46131</x:v>
      </x:c>
      <x:c r="F26" s="45" t="n">
        <x:v>4800</x:v>
      </x:c>
      <x:c r="G26" s="45" t="n">
        <x:v>0</x:v>
      </x:c>
      <x:c r="H26" s="45" t="n">
        <x:f>MAX(0,F26-G26)</x:f>
        <x:v>4800</x:v>
      </x:c>
      <x:c r="I26" s="46" t="n">
        <x:f>IF(H26=0,0,MAX(0,AR_Aging_Report!$B$4-E26))</x:f>
        <x:v>0</x:v>
      </x:c>
      <x:c r="J26" s="34" t="str">
        <x:f>IF(H26=0,"Paid",IF(I26=0,"Current",IF(I26&lt;=30,"1-30",IF(I26&lt;=60,"31-60",IF(I26&lt;=90,"61-90","90+")))))</x:f>
        <x:v>Current</x:v>
      </x:c>
      <x:c r="K26" s="34" t="str"/>
    </x:row>
    <x:row r="27">
      <x:c r="A27" s="34" t="str">
        <x:v>Harbor Fixtures LLC</x:v>
      </x:c>
      <x:c r="B27" s="34" t="str">
        <x:v>INV-26023</x:v>
      </x:c>
      <x:c r="C27" s="44" t="n">
        <x:v>46102</x:v>
      </x:c>
      <x:c r="D27" s="34" t="n">
        <x:v>15</x:v>
      </x:c>
      <x:c r="E27" s="44" t="n">
        <x:f>C27+D27</x:f>
        <x:v>46117</x:v>
      </x:c>
      <x:c r="F27" s="45" t="n">
        <x:v>5250</x:v>
      </x:c>
      <x:c r="G27" s="45" t="n">
        <x:v>0</x:v>
      </x:c>
      <x:c r="H27" s="45" t="n">
        <x:f>MAX(0,F27-G27)</x:f>
        <x:v>5250</x:v>
      </x:c>
      <x:c r="I27" s="46" t="n">
        <x:f>IF(H27=0,0,MAX(0,AR_Aging_Report!$B$4-E27))</x:f>
        <x:v>0</x:v>
      </x:c>
      <x:c r="J27" s="34" t="str">
        <x:f>IF(H27=0,"Paid",IF(I27=0,"Current",IF(I27&lt;=30,"1-30",IF(I27&lt;=60,"31-60",IF(I27&lt;=90,"61-90","90+")))))</x:f>
        <x:v>Current</x:v>
      </x:c>
      <x:c r="K27" s="34" t="str"/>
    </x:row>
    <x:row r="28">
      <x:c r="A28" s="34" t="str">
        <x:v>Virginia Transit Parts</x:v>
      </x:c>
      <x:c r="B28" s="34" t="str">
        <x:v>INV-26024</x:v>
      </x:c>
      <x:c r="C28" s="44" t="n">
        <x:v>46103</x:v>
      </x:c>
      <x:c r="D28" s="34" t="n">
        <x:v>45</x:v>
      </x:c>
      <x:c r="E28" s="44" t="n">
        <x:f>C28+D28</x:f>
        <x:v>46148</x:v>
      </x:c>
      <x:c r="F28" s="45" t="n">
        <x:v>10900</x:v>
      </x:c>
      <x:c r="G28" s="45" t="n">
        <x:v>0</x:v>
      </x:c>
      <x:c r="H28" s="45" t="n">
        <x:f>MAX(0,F28-G28)</x:f>
        <x:v>10900</x:v>
      </x:c>
      <x:c r="I28" s="46" t="n">
        <x:f>IF(H28=0,0,MAX(0,AR_Aging_Report!$B$4-E28))</x:f>
        <x:v>0</x:v>
      </x:c>
      <x:c r="J28" s="34" t="str">
        <x:f>IF(H28=0,"Paid",IF(I28=0,"Current",IF(I28&lt;=30,"1-30",IF(I28&lt;=60,"31-60",IF(I28&lt;=90,"61-90","90+")))))</x:f>
        <x:v>Current</x:v>
      </x:c>
      <x:c r="K28" s="34" t="str"/>
    </x:row>
    <x:row r="29">
      <x:c r="A29" s="34" t="str">
        <x:v>Appalachian Retail Systems</x:v>
      </x:c>
      <x:c r="B29" s="34" t="str">
        <x:v>INV-26025</x:v>
      </x:c>
      <x:c r="C29" s="44" t="n">
        <x:v>46104</x:v>
      </x:c>
      <x:c r="D29" s="34" t="n">
        <x:v>30</x:v>
      </x:c>
      <x:c r="E29" s="44" t="n">
        <x:f>C29+D29</x:f>
        <x:v>46134</x:v>
      </x:c>
      <x:c r="F29" s="45" t="n">
        <x:v>7700</x:v>
      </x:c>
      <x:c r="G29" s="45" t="n">
        <x:v>0</x:v>
      </x:c>
      <x:c r="H29" s="45" t="n">
        <x:f>MAX(0,F29-G29)</x:f>
        <x:v>7700</x:v>
      </x:c>
      <x:c r="I29" s="46" t="n">
        <x:f>IF(H29=0,0,MAX(0,AR_Aging_Report!$B$4-E29))</x:f>
        <x:v>0</x:v>
      </x:c>
      <x:c r="J29" s="34" t="str">
        <x:f>IF(H29=0,"Paid",IF(I29=0,"Current",IF(I29&lt;=30,"1-30",IF(I29&lt;=60,"31-60",IF(I29&lt;=90,"61-90","90+")))))</x:f>
        <x:v>Current</x:v>
      </x:c>
      <x:c r="K29" s="34" t="str"/>
    </x:row>
    <x:row r="30">
      <x:c r="A30" s="34" t="str">
        <x:v>Chesapeake Fabricators</x:v>
      </x:c>
      <x:c r="B30" s="34" t="str">
        <x:v>INV-26026</x:v>
      </x:c>
      <x:c r="C30" s="44" t="n">
        <x:v>46106</x:v>
      </x:c>
      <x:c r="D30" s="34" t="n">
        <x:v>30</x:v>
      </x:c>
      <x:c r="E30" s="44" t="n">
        <x:f>C30+D30</x:f>
        <x:v>46136</x:v>
      </x:c>
      <x:c r="F30" s="45" t="n">
        <x:v>6600</x:v>
      </x:c>
      <x:c r="G30" s="45" t="n">
        <x:v>0</x:v>
      </x:c>
      <x:c r="H30" s="45" t="n">
        <x:f>MAX(0,F30-G30)</x:f>
        <x:v>6600</x:v>
      </x:c>
      <x:c r="I30" s="46" t="n">
        <x:f>IF(H30=0,0,MAX(0,AR_Aging_Report!$B$4-E30))</x:f>
        <x:v>0</x:v>
      </x:c>
      <x:c r="J30" s="34" t="str">
        <x:f>IF(H30=0,"Paid",IF(I30=0,"Current",IF(I30&lt;=30,"1-30",IF(I30&lt;=60,"31-60",IF(I30&lt;=90,"61-90","90+")))))</x:f>
        <x:v>Current</x:v>
      </x:c>
      <x:c r="K30" s="34" t="str"/>
    </x:row>
    <x:row r="31">
      <x:c r="A31" s="34" t="str">
        <x:v>Piedmont Medical Labs</x:v>
      </x:c>
      <x:c r="B31" s="34" t="str">
        <x:v>INV-26027</x:v>
      </x:c>
      <x:c r="C31" s="44" t="n">
        <x:v>46107</x:v>
      </x:c>
      <x:c r="D31" s="34" t="n">
        <x:v>30</x:v>
      </x:c>
      <x:c r="E31" s="44" t="n">
        <x:f>C31+D31</x:f>
        <x:v>46137</x:v>
      </x:c>
      <x:c r="F31" s="45" t="n">
        <x:v>4500</x:v>
      </x:c>
      <x:c r="G31" s="45" t="n">
        <x:v>0</x:v>
      </x:c>
      <x:c r="H31" s="45" t="n">
        <x:f>MAX(0,F31-G31)</x:f>
        <x:v>4500</x:v>
      </x:c>
      <x:c r="I31" s="46" t="n">
        <x:f>IF(H31=0,0,MAX(0,AR_Aging_Report!$B$4-E31))</x:f>
        <x:v>0</x:v>
      </x:c>
      <x:c r="J31" s="34" t="str">
        <x:f>IF(H31=0,"Paid",IF(I31=0,"Current",IF(I31&lt;=30,"1-30",IF(I31&lt;=60,"31-60",IF(I31&lt;=90,"61-90","90+")))))</x:f>
        <x:v>Current</x:v>
      </x:c>
      <x:c r="K31" s="34" t="str"/>
    </x:row>
    <x:row r="32">
      <x:c r="A32" s="34" t="str">
        <x:v>Roanoke Industrial Supply</x:v>
      </x:c>
      <x:c r="B32" s="34" t="str">
        <x:v>INV-26028</x:v>
      </x:c>
      <x:c r="C32" s="44" t="n">
        <x:v>46108</x:v>
      </x:c>
      <x:c r="D32" s="34" t="n">
        <x:v>30</x:v>
      </x:c>
      <x:c r="E32" s="44" t="n">
        <x:f>C32+D32</x:f>
        <x:v>46138</x:v>
      </x:c>
      <x:c r="F32" s="45" t="n">
        <x:v>9700</x:v>
      </x:c>
      <x:c r="G32" s="45" t="n">
        <x:v>0</x:v>
      </x:c>
      <x:c r="H32" s="45" t="n">
        <x:f>MAX(0,F32-G32)</x:f>
        <x:v>9700</x:v>
      </x:c>
      <x:c r="I32" s="46" t="n">
        <x:f>IF(H32=0,0,MAX(0,AR_Aging_Report!$B$4-E32))</x:f>
        <x:v>0</x:v>
      </x:c>
      <x:c r="J32" s="34" t="str">
        <x:f>IF(H32=0,"Paid",IF(I32=0,"Current",IF(I32&lt;=30,"1-30",IF(I32&lt;=60,"31-60",IF(I32&lt;=90,"61-90","90+")))))</x:f>
        <x:v>Current</x:v>
      </x:c>
      <x:c r="K32" s="34" t="str"/>
    </x:row>
    <x:row r="33">
      <x:c r="A33" s="34" t="str">
        <x:v>Richmond Contract Furniture</x:v>
      </x:c>
      <x:c r="B33" s="34" t="str">
        <x:v>INV-26029</x:v>
      </x:c>
      <x:c r="C33" s="44" t="n">
        <x:v>46109</x:v>
      </x:c>
      <x:c r="D33" s="34" t="n">
        <x:v>30</x:v>
      </x:c>
      <x:c r="E33" s="44" t="n">
        <x:f>C33+D33</x:f>
        <x:v>46139</x:v>
      </x:c>
      <x:c r="F33" s="45" t="n">
        <x:v>12200</x:v>
      </x:c>
      <x:c r="G33" s="45" t="n">
        <x:v>0</x:v>
      </x:c>
      <x:c r="H33" s="45" t="n">
        <x:f>MAX(0,F33-G33)</x:f>
        <x:v>12200</x:v>
      </x:c>
      <x:c r="I33" s="46" t="n">
        <x:f>IF(H33=0,0,MAX(0,AR_Aging_Report!$B$4-E33))</x:f>
        <x:v>0</x:v>
      </x:c>
      <x:c r="J33" s="34" t="str">
        <x:f>IF(H33=0,"Paid",IF(I33=0,"Current",IF(I33&lt;=30,"1-30",IF(I33&lt;=60,"31-60",IF(I33&lt;=90,"61-90","90+")))))</x:f>
        <x:v>Current</x:v>
      </x:c>
      <x:c r="K33" s="34" t="str"/>
    </x:row>
    <x:row r="34">
      <x:c r="A34" s="34" t="str">
        <x:v>Norfolk Facility Group</x:v>
      </x:c>
      <x:c r="B34" s="34" t="str">
        <x:v>INV-26030</x:v>
      </x:c>
      <x:c r="C34" s="44" t="n">
        <x:v>46110</x:v>
      </x:c>
      <x:c r="D34" s="34" t="n">
        <x:v>30</x:v>
      </x:c>
      <x:c r="E34" s="44" t="n">
        <x:f>C34+D34</x:f>
        <x:v>46140</x:v>
      </x:c>
      <x:c r="F34" s="45" t="n">
        <x:v>8350</x:v>
      </x:c>
      <x:c r="G34" s="45" t="n">
        <x:v>0</x:v>
      </x:c>
      <x:c r="H34" s="45" t="n">
        <x:f>MAX(0,F34-G34)</x:f>
        <x:v>8350</x:v>
      </x:c>
      <x:c r="I34" s="46" t="n">
        <x:f>IF(H34=0,0,MAX(0,AR_Aging_Report!$B$4-E34))</x:f>
        <x:v>0</x:v>
      </x:c>
      <x:c r="J34" s="34" t="str">
        <x:f>IF(H34=0,"Paid",IF(I34=0,"Current",IF(I34&lt;=30,"1-30",IF(I34&lt;=60,"31-60",IF(I34&lt;=90,"61-90","90+")))))</x:f>
        <x:v>Current</x:v>
      </x:c>
      <x:c r="K34" s="34" t="str"/>
    </x:row>
  </x:sheetData>
  <x:mergeCells>
    <x:mergeCell ref="A1:K1"/>
    <x:mergeCell ref="A2:K2"/>
  </x:mergeCells>
  <x:conditionalFormatting sqref="J5:J34">
    <x:cfRule type="expression" dxfId="0" priority="1">
      <x:formula>J5="90+"</x:formula>
    </x:cfRule>
    <x:cfRule type="expression" dxfId="1" priority="2">
      <x:formula>J5="61-90"</x:formula>
    </x:cfRule>
    <x:cfRule type="expression" dxfId="2" priority="3">
      <x:formula>J5="31-60"</x:formula>
    </x:cfRule>
    <x:cfRule type="expression" dxfId="3" priority="4">
      <x:formula>J5="Current"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4848ee5d6343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AR Aging Report</x:v>
      </x:c>
    </x:row>
    <x:row r="2" ht="24" customHeight="1">
      <x:c r="A2" s="13" t="str">
        <x:v>Open customer receivables by aging bucket.</x:v>
      </x:c>
    </x:row>
    <x:row r="4">
      <x:c r="A4" s="29" t="str">
        <x:v>As Of Date</x:v>
      </x:c>
      <x:c r="B4" s="38" t="n">
        <x:v>46112</x:v>
      </x:c>
    </x:row>
    <x:row r="5">
      <x:c r="A5" s="29" t="str">
        <x:v>Prepared By</x:v>
      </x:c>
      <x:c r="B5" t="str">
        <x:v>Student</x:v>
      </x:c>
    </x:row>
    <x:row r="8" ht="24" customHeight="1">
      <x:c r="A8" s="22" t="str">
        <x:v>Aging Bucket</x:v>
      </x:c>
      <x:c r="B8" s="22" t="str">
        <x:v>Amount</x:v>
      </x:c>
      <x:c r="D8" s="22" t="str">
        <x:v>Customer</x:v>
      </x:c>
      <x:c r="E8" s="22" t="str">
        <x:v>Current</x:v>
      </x:c>
      <x:c r="F8" s="22" t="str">
        <x:v>1-30</x:v>
      </x:c>
      <x:c r="G8" s="22" t="str">
        <x:v>31-60</x:v>
      </x:c>
      <x:c r="H8" s="22" t="str">
        <x:v>61-90</x:v>
      </x:c>
      <x:c r="I8" s="22" t="str">
        <x:v>90+</x:v>
      </x:c>
      <x:c r="J8" s="22" t="str">
        <x:v>Total</x:v>
      </x:c>
    </x:row>
    <x:row r="9">
      <x:c r="A9" t="str">
        <x:v>Current</x:v>
      </x:c>
      <x:c r="B9" s="40" t="n">
        <x:f>SUMIFS(Customer_Invoices!$H$5:$H$34,Customer_Invoices!$J$5:$J$34,A9)</x:f>
        <x:v>161650</x:v>
      </x:c>
      <x:c r="D9" t="str">
        <x:v>Appalachian Retail Systems</x:v>
      </x:c>
      <x:c r="E9" s="40" t="n">
        <x:f>SUMIFS(Customer_Invoices!$H$5:$H$34,Customer_Invoices!$A$5:$A$34,$D9,Customer_Invoices!$J$5:$J$34,E$8)</x:f>
        <x:v>7700</x:v>
      </x:c>
      <x:c r="F9" s="40" t="n">
        <x:f>SUMIFS(Customer_Invoices!$H$5:$H$34,Customer_Invoices!$A$5:$A$34,$D9,Customer_Invoices!$J$5:$J$34,F$8)</x:f>
        <x:v>6400</x:v>
      </x:c>
      <x:c r="G9" s="40" t="n">
        <x:f>SUMIFS(Customer_Invoices!$H$5:$H$34,Customer_Invoices!$A$5:$A$34,$D9,Customer_Invoices!$J$5:$J$34,G$8)</x:f>
        <x:v>0</x:v>
      </x:c>
      <x:c r="H9" s="40" t="n">
        <x:f>SUMIFS(Customer_Invoices!$H$5:$H$34,Customer_Invoices!$A$5:$A$34,$D9,Customer_Invoices!$J$5:$J$34,H$8)</x:f>
        <x:v>0</x:v>
      </x:c>
      <x:c r="I9" s="40" t="n">
        <x:f>SUMIFS(Customer_Invoices!$H$5:$H$34,Customer_Invoices!$A$5:$A$34,$D9,Customer_Invoices!$J$5:$J$34,I$8)</x:f>
        <x:v>0</x:v>
      </x:c>
      <x:c r="J9" s="40" t="n">
        <x:f>SUM(E9:I9)</x:f>
        <x:v>14100</x:v>
      </x:c>
    </x:row>
    <x:row r="10">
      <x:c r="A10" t="str">
        <x:v>1-30</x:v>
      </x:c>
      <x:c r="B10" s="40" t="n">
        <x:f>SUMIFS(Customer_Invoices!$H$5:$H$34,Customer_Invoices!$J$5:$J$34,A10)</x:f>
        <x:v>34400</x:v>
      </x:c>
      <x:c r="D10" t="str">
        <x:v>Arlington Property Services</x:v>
      </x:c>
      <x:c r="E10" s="40" t="n">
        <x:f>SUMIFS(Customer_Invoices!$H$5:$H$34,Customer_Invoices!$A$5:$A$34,$D10,Customer_Invoices!$J$5:$J$34,E$8)</x:f>
        <x:v>0</x:v>
      </x:c>
      <x:c r="F10" s="40" t="n">
        <x:f>SUMIFS(Customer_Invoices!$H$5:$H$34,Customer_Invoices!$A$5:$A$34,$D10,Customer_Invoices!$J$5:$J$34,F$8)</x:f>
        <x:v>4200</x:v>
      </x:c>
      <x:c r="G10" s="40" t="n">
        <x:f>SUMIFS(Customer_Invoices!$H$5:$H$34,Customer_Invoices!$A$5:$A$34,$D10,Customer_Invoices!$J$5:$J$34,G$8)</x:f>
        <x:v>0</x:v>
      </x:c>
      <x:c r="H10" s="40" t="n">
        <x:f>SUMIFS(Customer_Invoices!$H$5:$H$34,Customer_Invoices!$A$5:$A$34,$D10,Customer_Invoices!$J$5:$J$34,H$8)</x:f>
        <x:v>0</x:v>
      </x:c>
      <x:c r="I10" s="40" t="n">
        <x:f>SUMIFS(Customer_Invoices!$H$5:$H$34,Customer_Invoices!$A$5:$A$34,$D10,Customer_Invoices!$J$5:$J$34,I$8)</x:f>
        <x:v>0</x:v>
      </x:c>
      <x:c r="J10" s="40" t="n">
        <x:f>SUM(E10:I10)</x:f>
        <x:v>4200</x:v>
      </x:c>
    </x:row>
    <x:row r="11">
      <x:c r="A11" t="str">
        <x:v>31-60</x:v>
      </x:c>
      <x:c r="B11" s="40" t="n">
        <x:f>SUMIFS(Customer_Invoices!$H$5:$H$34,Customer_Invoices!$J$5:$J$34,A11)</x:f>
        <x:v>28050</x:v>
      </x:c>
      <x:c r="D11" t="str">
        <x:v>Blue Ridge Retail Fixtures</x:v>
      </x:c>
      <x:c r="E11" s="40" t="n">
        <x:f>SUMIFS(Customer_Invoices!$H$5:$H$34,Customer_Invoices!$A$5:$A$34,$D11,Customer_Invoices!$J$5:$J$34,E$8)</x:f>
        <x:v>6850</x:v>
      </x:c>
      <x:c r="F11" s="40" t="n">
        <x:f>SUMIFS(Customer_Invoices!$H$5:$H$34,Customer_Invoices!$A$5:$A$34,$D11,Customer_Invoices!$J$5:$J$34,F$8)</x:f>
        <x:v>0</x:v>
      </x:c>
      <x:c r="G11" s="40" t="n">
        <x:f>SUMIFS(Customer_Invoices!$H$5:$H$34,Customer_Invoices!$A$5:$A$34,$D11,Customer_Invoices!$J$5:$J$34,G$8)</x:f>
        <x:v>5500</x:v>
      </x:c>
      <x:c r="H11" s="40" t="n">
        <x:f>SUMIFS(Customer_Invoices!$H$5:$H$34,Customer_Invoices!$A$5:$A$34,$D11,Customer_Invoices!$J$5:$J$34,H$8)</x:f>
        <x:v>0</x:v>
      </x:c>
      <x:c r="I11" s="40" t="n">
        <x:f>SUMIFS(Customer_Invoices!$H$5:$H$34,Customer_Invoices!$A$5:$A$34,$D11,Customer_Invoices!$J$5:$J$34,I$8)</x:f>
        <x:v>0</x:v>
      </x:c>
      <x:c r="J11" s="40" t="n">
        <x:f>SUM(E11:I11)</x:f>
        <x:v>12350</x:v>
      </x:c>
    </x:row>
    <x:row r="12">
      <x:c r="A12" t="str">
        <x:v>61-90</x:v>
      </x:c>
      <x:c r="B12" s="40" t="n">
        <x:f>SUMIFS(Customer_Invoices!$H$5:$H$34,Customer_Invoices!$J$5:$J$34,A12)</x:f>
        <x:v>4400</x:v>
      </x:c>
      <x:c r="D12" t="str">
        <x:v>Cardinal HVAC Components</x:v>
      </x:c>
      <x:c r="E12" s="40" t="n">
        <x:f>SUMIFS(Customer_Invoices!$H$5:$H$34,Customer_Invoices!$A$5:$A$34,$D12,Customer_Invoices!$J$5:$J$34,E$8)</x:f>
        <x:v>0</x:v>
      </x:c>
      <x:c r="F12" s="40" t="n">
        <x:f>SUMIFS(Customer_Invoices!$H$5:$H$34,Customer_Invoices!$A$5:$A$34,$D12,Customer_Invoices!$J$5:$J$34,F$8)</x:f>
        <x:v>0</x:v>
      </x:c>
      <x:c r="G12" s="40" t="n">
        <x:f>SUMIFS(Customer_Invoices!$H$5:$H$34,Customer_Invoices!$A$5:$A$34,$D12,Customer_Invoices!$J$5:$J$34,G$8)</x:f>
        <x:v>0</x:v>
      </x:c>
      <x:c r="H12" s="40" t="n">
        <x:f>SUMIFS(Customer_Invoices!$H$5:$H$34,Customer_Invoices!$A$5:$A$34,$D12,Customer_Invoices!$J$5:$J$34,H$8)</x:f>
        <x:v>4400</x:v>
      </x:c>
      <x:c r="I12" s="40" t="n">
        <x:f>SUMIFS(Customer_Invoices!$H$5:$H$34,Customer_Invoices!$A$5:$A$34,$D12,Customer_Invoices!$J$5:$J$34,I$8)</x:f>
        <x:v>0</x:v>
      </x:c>
      <x:c r="J12" s="40" t="n">
        <x:f>SUM(E12:I12)</x:f>
        <x:v>4400</x:v>
      </x:c>
    </x:row>
    <x:row r="13">
      <x:c r="A13" t="str">
        <x:v>90+</x:v>
      </x:c>
      <x:c r="B13" s="40" t="n">
        <x:f>SUMIFS(Customer_Invoices!$H$5:$H$34,Customer_Invoices!$J$5:$J$34,A13)</x:f>
        <x:v>0</x:v>
      </x:c>
      <x:c r="D13" t="str">
        <x:v>Chesapeake Fabricators</x:v>
      </x:c>
      <x:c r="E13" s="40" t="n">
        <x:f>SUMIFS(Customer_Invoices!$H$5:$H$34,Customer_Invoices!$A$5:$A$34,$D13,Customer_Invoices!$J$5:$J$34,E$8)</x:f>
        <x:v>6600</x:v>
      </x:c>
      <x:c r="F13" s="40" t="n">
        <x:f>SUMIFS(Customer_Invoices!$H$5:$H$34,Customer_Invoices!$A$5:$A$34,$D13,Customer_Invoices!$J$5:$J$34,F$8)</x:f>
        <x:v>8000</x:v>
      </x:c>
      <x:c r="G13" s="40" t="n">
        <x:f>SUMIFS(Customer_Invoices!$H$5:$H$34,Customer_Invoices!$A$5:$A$34,$D13,Customer_Invoices!$J$5:$J$34,G$8)</x:f>
        <x:v>0</x:v>
      </x:c>
      <x:c r="H13" s="40" t="n">
        <x:f>SUMIFS(Customer_Invoices!$H$5:$H$34,Customer_Invoices!$A$5:$A$34,$D13,Customer_Invoices!$J$5:$J$34,H$8)</x:f>
        <x:v>0</x:v>
      </x:c>
      <x:c r="I13" s="40" t="n">
        <x:f>SUMIFS(Customer_Invoices!$H$5:$H$34,Customer_Invoices!$A$5:$A$34,$D13,Customer_Invoices!$J$5:$J$34,I$8)</x:f>
        <x:v>0</x:v>
      </x:c>
      <x:c r="J13" s="40" t="n">
        <x:f>SUM(E13:I13)</x:f>
        <x:v>14600</x:v>
      </x:c>
    </x:row>
    <x:row r="14">
      <x:c r="A14" s="52" t="str">
        <x:v>Total Open AR</x:v>
      </x:c>
      <x:c r="B14" s="53" t="n">
        <x:f>SUM(B9:B13)</x:f>
        <x:v>228500</x:v>
      </x:c>
      <x:c r="D14" t="str">
        <x:v>Coastal Cabinet Group</x:v>
      </x:c>
      <x:c r="E14" s="40" t="n">
        <x:f>SUMIFS(Customer_Invoices!$H$5:$H$34,Customer_Invoices!$A$5:$A$34,$D14,Customer_Invoices!$J$5:$J$34,E$8)</x:f>
        <x:v>0</x:v>
      </x:c>
      <x:c r="F14" s="40" t="n">
        <x:f>SUMIFS(Customer_Invoices!$H$5:$H$34,Customer_Invoices!$A$5:$A$34,$D14,Customer_Invoices!$J$5:$J$34,F$8)</x:f>
        <x:v>0</x:v>
      </x:c>
      <x:c r="G14" s="40" t="n">
        <x:f>SUMIFS(Customer_Invoices!$H$5:$H$34,Customer_Invoices!$A$5:$A$34,$D14,Customer_Invoices!$J$5:$J$34,G$8)</x:f>
        <x:v>7600</x:v>
      </x:c>
      <x:c r="H14" s="40" t="n">
        <x:f>SUMIFS(Customer_Invoices!$H$5:$H$34,Customer_Invoices!$A$5:$A$34,$D14,Customer_Invoices!$J$5:$J$34,H$8)</x:f>
        <x:v>0</x:v>
      </x:c>
      <x:c r="I14" s="40" t="n">
        <x:f>SUMIFS(Customer_Invoices!$H$5:$H$34,Customer_Invoices!$A$5:$A$34,$D14,Customer_Invoices!$J$5:$J$34,I$8)</x:f>
        <x:v>0</x:v>
      </x:c>
      <x:c r="J14" s="40" t="n">
        <x:f>SUM(E14:I14)</x:f>
        <x:v>7600</x:v>
      </x:c>
    </x:row>
    <x:row r="15">
      <x:c r="D15" t="str">
        <x:v>Harbor Fixtures LLC</x:v>
      </x:c>
      <x:c r="E15" s="40" t="n">
        <x:f>SUMIFS(Customer_Invoices!$H$5:$H$34,Customer_Invoices!$A$5:$A$34,$D15,Customer_Invoices!$J$5:$J$34,E$8)</x:f>
        <x:v>5250</x:v>
      </x:c>
      <x:c r="F15" s="40" t="n">
        <x:f>SUMIFS(Customer_Invoices!$H$5:$H$34,Customer_Invoices!$A$5:$A$34,$D15,Customer_Invoices!$J$5:$J$34,F$8)</x:f>
        <x:v>0</x:v>
      </x:c>
      <x:c r="G15" s="40" t="n">
        <x:f>SUMIFS(Customer_Invoices!$H$5:$H$34,Customer_Invoices!$A$5:$A$34,$D15,Customer_Invoices!$J$5:$J$34,G$8)</x:f>
        <x:v>8750</x:v>
      </x:c>
      <x:c r="H15" s="40" t="n">
        <x:f>SUMIFS(Customer_Invoices!$H$5:$H$34,Customer_Invoices!$A$5:$A$34,$D15,Customer_Invoices!$J$5:$J$34,H$8)</x:f>
        <x:v>0</x:v>
      </x:c>
      <x:c r="I15" s="40" t="n">
        <x:f>SUMIFS(Customer_Invoices!$H$5:$H$34,Customer_Invoices!$A$5:$A$34,$D15,Customer_Invoices!$J$5:$J$34,I$8)</x:f>
        <x:v>0</x:v>
      </x:c>
      <x:c r="J15" s="40" t="n">
        <x:f>SUM(E15:I15)</x:f>
        <x:v>14000</x:v>
      </x:c>
    </x:row>
    <x:row r="16">
      <x:c r="D16" t="str">
        <x:v>James River Office Works</x:v>
      </x:c>
      <x:c r="E16" s="40" t="n">
        <x:f>SUMIFS(Customer_Invoices!$H$5:$H$34,Customer_Invoices!$A$5:$A$34,$D16,Customer_Invoices!$J$5:$J$34,E$8)</x:f>
        <x:v>5800</x:v>
      </x:c>
      <x:c r="F16" s="40" t="n">
        <x:f>SUMIFS(Customer_Invoices!$H$5:$H$34,Customer_Invoices!$A$5:$A$34,$D16,Customer_Invoices!$J$5:$J$34,F$8)</x:f>
        <x:v>0</x:v>
      </x:c>
      <x:c r="G16" s="40" t="n">
        <x:f>SUMIFS(Customer_Invoices!$H$5:$H$34,Customer_Invoices!$A$5:$A$34,$D16,Customer_Invoices!$J$5:$J$34,G$8)</x:f>
        <x:v>0</x:v>
      </x:c>
      <x:c r="H16" s="40" t="n">
        <x:f>SUMIFS(Customer_Invoices!$H$5:$H$34,Customer_Invoices!$A$5:$A$34,$D16,Customer_Invoices!$J$5:$J$34,H$8)</x:f>
        <x:v>0</x:v>
      </x:c>
      <x:c r="I16" s="40" t="n">
        <x:f>SUMIFS(Customer_Invoices!$H$5:$H$34,Customer_Invoices!$A$5:$A$34,$D16,Customer_Invoices!$J$5:$J$34,I$8)</x:f>
        <x:v>0</x:v>
      </x:c>
      <x:c r="J16" s="40" t="n">
        <x:f>SUM(E16:I16)</x:f>
        <x:v>5800</x:v>
      </x:c>
    </x:row>
    <x:row r="17">
      <x:c r="D17" t="str">
        <x:v>Loudoun County Remodelers</x:v>
      </x:c>
      <x:c r="E17" s="40" t="n">
        <x:f>SUMIFS(Customer_Invoices!$H$5:$H$34,Customer_Invoices!$A$5:$A$34,$D17,Customer_Invoices!$J$5:$J$34,E$8)</x:f>
        <x:v>3800</x:v>
      </x:c>
      <x:c r="F17" s="40" t="n">
        <x:f>SUMIFS(Customer_Invoices!$H$5:$H$34,Customer_Invoices!$A$5:$A$34,$D17,Customer_Invoices!$J$5:$J$34,F$8)</x:f>
        <x:v>0</x:v>
      </x:c>
      <x:c r="G17" s="40" t="n">
        <x:f>SUMIFS(Customer_Invoices!$H$5:$H$34,Customer_Invoices!$A$5:$A$34,$D17,Customer_Invoices!$J$5:$J$34,G$8)</x:f>
        <x:v>0</x:v>
      </x:c>
      <x:c r="H17" s="40" t="n">
        <x:f>SUMIFS(Customer_Invoices!$H$5:$H$34,Customer_Invoices!$A$5:$A$34,$D17,Customer_Invoices!$J$5:$J$34,H$8)</x:f>
        <x:v>0</x:v>
      </x:c>
      <x:c r="I17" s="40" t="n">
        <x:f>SUMIFS(Customer_Invoices!$H$5:$H$34,Customer_Invoices!$A$5:$A$34,$D17,Customer_Invoices!$J$5:$J$34,I$8)</x:f>
        <x:v>0</x:v>
      </x:c>
      <x:c r="J17" s="40" t="n">
        <x:f>SUM(E17:I17)</x:f>
        <x:v>3800</x:v>
      </x:c>
    </x:row>
    <x:row r="18">
      <x:c r="D18" t="str">
        <x:v>Metro Equipment Services</x:v>
      </x:c>
      <x:c r="E18" s="40" t="n">
        <x:f>SUMIFS(Customer_Invoices!$H$5:$H$34,Customer_Invoices!$A$5:$A$34,$D18,Customer_Invoices!$J$5:$J$34,E$8)</x:f>
        <x:v>4800</x:v>
      </x:c>
      <x:c r="F18" s="40" t="n">
        <x:f>SUMIFS(Customer_Invoices!$H$5:$H$34,Customer_Invoices!$A$5:$A$34,$D18,Customer_Invoices!$J$5:$J$34,F$8)</x:f>
        <x:v>0</x:v>
      </x:c>
      <x:c r="G18" s="40" t="n">
        <x:f>SUMIFS(Customer_Invoices!$H$5:$H$34,Customer_Invoices!$A$5:$A$34,$D18,Customer_Invoices!$J$5:$J$34,G$8)</x:f>
        <x:v>6200</x:v>
      </x:c>
      <x:c r="H18" s="40" t="n">
        <x:f>SUMIFS(Customer_Invoices!$H$5:$H$34,Customer_Invoices!$A$5:$A$34,$D18,Customer_Invoices!$J$5:$J$34,H$8)</x:f>
        <x:v>0</x:v>
      </x:c>
      <x:c r="I18" s="40" t="n">
        <x:f>SUMIFS(Customer_Invoices!$H$5:$H$34,Customer_Invoices!$A$5:$A$34,$D18,Customer_Invoices!$J$5:$J$34,I$8)</x:f>
        <x:v>0</x:v>
      </x:c>
      <x:c r="J18" s="40" t="n">
        <x:f>SUM(E18:I18)</x:f>
        <x:v>11000</x:v>
      </x:c>
    </x:row>
    <x:row r="19">
      <x:c r="D19" t="str">
        <x:v>Norfolk Facility Group</x:v>
      </x:c>
      <x:c r="E19" s="40" t="n">
        <x:f>SUMIFS(Customer_Invoices!$H$5:$H$34,Customer_Invoices!$A$5:$A$34,$D19,Customer_Invoices!$J$5:$J$34,E$8)</x:f>
        <x:v>18300</x:v>
      </x:c>
      <x:c r="F19" s="40" t="n">
        <x:f>SUMIFS(Customer_Invoices!$H$5:$H$34,Customer_Invoices!$A$5:$A$34,$D19,Customer_Invoices!$J$5:$J$34,F$8)</x:f>
        <x:v>0</x:v>
      </x:c>
      <x:c r="G19" s="40" t="n">
        <x:f>SUMIFS(Customer_Invoices!$H$5:$H$34,Customer_Invoices!$A$5:$A$34,$D19,Customer_Invoices!$J$5:$J$34,G$8)</x:f>
        <x:v>0</x:v>
      </x:c>
      <x:c r="H19" s="40" t="n">
        <x:f>SUMIFS(Customer_Invoices!$H$5:$H$34,Customer_Invoices!$A$5:$A$34,$D19,Customer_Invoices!$J$5:$J$34,H$8)</x:f>
        <x:v>0</x:v>
      </x:c>
      <x:c r="I19" s="40" t="n">
        <x:f>SUMIFS(Customer_Invoices!$H$5:$H$34,Customer_Invoices!$A$5:$A$34,$D19,Customer_Invoices!$J$5:$J$34,I$8)</x:f>
        <x:v>0</x:v>
      </x:c>
      <x:c r="J19" s="40" t="n">
        <x:f>SUM(E19:I19)</x:f>
        <x:v>18300</x:v>
      </x:c>
    </x:row>
    <x:row r="20">
      <x:c r="D20" t="str">
        <x:v>Old Dominion Components</x:v>
      </x:c>
      <x:c r="E20" s="40" t="n">
        <x:f>SUMIFS(Customer_Invoices!$H$5:$H$34,Customer_Invoices!$A$5:$A$34,$D20,Customer_Invoices!$J$5:$J$34,E$8)</x:f>
        <x:v>0</x:v>
      </x:c>
      <x:c r="F20" s="40" t="n">
        <x:f>SUMIFS(Customer_Invoices!$H$5:$H$34,Customer_Invoices!$A$5:$A$34,$D20,Customer_Invoices!$J$5:$J$34,F$8)</x:f>
        <x:v>7500</x:v>
      </x:c>
      <x:c r="G20" s="40" t="n">
        <x:f>SUMIFS(Customer_Invoices!$H$5:$H$34,Customer_Invoices!$A$5:$A$34,$D20,Customer_Invoices!$J$5:$J$34,G$8)</x:f>
        <x:v>0</x:v>
      </x:c>
      <x:c r="H20" s="40" t="n">
        <x:f>SUMIFS(Customer_Invoices!$H$5:$H$34,Customer_Invoices!$A$5:$A$34,$D20,Customer_Invoices!$J$5:$J$34,H$8)</x:f>
        <x:v>0</x:v>
      </x:c>
      <x:c r="I20" s="40" t="n">
        <x:f>SUMIFS(Customer_Invoices!$H$5:$H$34,Customer_Invoices!$A$5:$A$34,$D20,Customer_Invoices!$J$5:$J$34,I$8)</x:f>
        <x:v>0</x:v>
      </x:c>
      <x:c r="J20" s="40" t="n">
        <x:f>SUM(E20:I20)</x:f>
        <x:v>7500</x:v>
      </x:c>
    </x:row>
    <x:row r="21">
      <x:c r="D21" t="str">
        <x:v>Piedmont Medical Labs</x:v>
      </x:c>
      <x:c r="E21" s="40" t="n">
        <x:f>SUMIFS(Customer_Invoices!$H$5:$H$34,Customer_Invoices!$A$5:$A$34,$D21,Customer_Invoices!$J$5:$J$34,E$8)</x:f>
        <x:v>11700</x:v>
      </x:c>
      <x:c r="F21" s="40" t="n">
        <x:f>SUMIFS(Customer_Invoices!$H$5:$H$34,Customer_Invoices!$A$5:$A$34,$D21,Customer_Invoices!$J$5:$J$34,F$8)</x:f>
        <x:v>0</x:v>
      </x:c>
      <x:c r="G21" s="40" t="n">
        <x:f>SUMIFS(Customer_Invoices!$H$5:$H$34,Customer_Invoices!$A$5:$A$34,$D21,Customer_Invoices!$J$5:$J$34,G$8)</x:f>
        <x:v>0</x:v>
      </x:c>
      <x:c r="H21" s="40" t="n">
        <x:f>SUMIFS(Customer_Invoices!$H$5:$H$34,Customer_Invoices!$A$5:$A$34,$D21,Customer_Invoices!$J$5:$J$34,H$8)</x:f>
        <x:v>0</x:v>
      </x:c>
      <x:c r="I21" s="40" t="n">
        <x:f>SUMIFS(Customer_Invoices!$H$5:$H$34,Customer_Invoices!$A$5:$A$34,$D21,Customer_Invoices!$J$5:$J$34,I$8)</x:f>
        <x:v>0</x:v>
      </x:c>
      <x:c r="J21" s="40" t="n">
        <x:f>SUM(E21:I21)</x:f>
        <x:v>11700</x:v>
      </x:c>
    </x:row>
    <x:row r="22">
      <x:c r="D22" t="str">
        <x:v>Potomac Builder Direct</x:v>
      </x:c>
      <x:c r="E22" s="40" t="n">
        <x:f>SUMIFS(Customer_Invoices!$H$5:$H$34,Customer_Invoices!$A$5:$A$34,$D22,Customer_Invoices!$J$5:$J$34,E$8)</x:f>
        <x:v>0</x:v>
      </x:c>
      <x:c r="F22" s="40" t="n">
        <x:f>SUMIFS(Customer_Invoices!$H$5:$H$34,Customer_Invoices!$A$5:$A$34,$D22,Customer_Invoices!$J$5:$J$34,F$8)</x:f>
        <x:v>0</x:v>
      </x:c>
      <x:c r="G22" s="40" t="n">
        <x:f>SUMIFS(Customer_Invoices!$H$5:$H$34,Customer_Invoices!$A$5:$A$34,$D22,Customer_Invoices!$J$5:$J$34,G$8)</x:f>
        <x:v>0</x:v>
      </x:c>
      <x:c r="H22" s="40" t="n">
        <x:f>SUMIFS(Customer_Invoices!$H$5:$H$34,Customer_Invoices!$A$5:$A$34,$D22,Customer_Invoices!$J$5:$J$34,H$8)</x:f>
        <x:v>0</x:v>
      </x:c>
      <x:c r="I22" s="40" t="n">
        <x:f>SUMIFS(Customer_Invoices!$H$5:$H$34,Customer_Invoices!$A$5:$A$34,$D22,Customer_Invoices!$J$5:$J$34,I$8)</x:f>
        <x:v>0</x:v>
      </x:c>
      <x:c r="J22" s="40" t="n">
        <x:f>SUM(E22:I22)</x:f>
        <x:v>0</x:v>
      </x:c>
    </x:row>
    <x:row r="23">
      <x:c r="D23" t="str">
        <x:v>Richmond Contract Furniture</x:v>
      </x:c>
      <x:c r="E23" s="40" t="n">
        <x:f>SUMIFS(Customer_Invoices!$H$5:$H$34,Customer_Invoices!$A$5:$A$34,$D23,Customer_Invoices!$J$5:$J$34,E$8)</x:f>
        <x:v>28400</x:v>
      </x:c>
      <x:c r="F23" s="40" t="n">
        <x:f>SUMIFS(Customer_Invoices!$H$5:$H$34,Customer_Invoices!$A$5:$A$34,$D23,Customer_Invoices!$J$5:$J$34,F$8)</x:f>
        <x:v>0</x:v>
      </x:c>
      <x:c r="G23" s="40" t="n">
        <x:f>SUMIFS(Customer_Invoices!$H$5:$H$34,Customer_Invoices!$A$5:$A$34,$D23,Customer_Invoices!$J$5:$J$34,G$8)</x:f>
        <x:v>0</x:v>
      </x:c>
      <x:c r="H23" s="40" t="n">
        <x:f>SUMIFS(Customer_Invoices!$H$5:$H$34,Customer_Invoices!$A$5:$A$34,$D23,Customer_Invoices!$J$5:$J$34,H$8)</x:f>
        <x:v>0</x:v>
      </x:c>
      <x:c r="I23" s="40" t="n">
        <x:f>SUMIFS(Customer_Invoices!$H$5:$H$34,Customer_Invoices!$A$5:$A$34,$D23,Customer_Invoices!$J$5:$J$34,I$8)</x:f>
        <x:v>0</x:v>
      </x:c>
      <x:c r="J23" s="40" t="n">
        <x:f>SUM(E23:I23)</x:f>
        <x:v>28400</x:v>
      </x:c>
    </x:row>
    <x:row r="24">
      <x:c r="D24" t="str">
        <x:v>Roanoke Industrial Supply</x:v>
      </x:c>
      <x:c r="E24" s="40" t="n">
        <x:f>SUMIFS(Customer_Invoices!$H$5:$H$34,Customer_Invoices!$A$5:$A$34,$D24,Customer_Invoices!$J$5:$J$34,E$8)</x:f>
        <x:v>22850</x:v>
      </x:c>
      <x:c r="F24" s="40" t="n">
        <x:f>SUMIFS(Customer_Invoices!$H$5:$H$34,Customer_Invoices!$A$5:$A$34,$D24,Customer_Invoices!$J$5:$J$34,F$8)</x:f>
        <x:v>0</x:v>
      </x:c>
      <x:c r="G24" s="40" t="n">
        <x:f>SUMIFS(Customer_Invoices!$H$5:$H$34,Customer_Invoices!$A$5:$A$34,$D24,Customer_Invoices!$J$5:$J$34,G$8)</x:f>
        <x:v>0</x:v>
      </x:c>
      <x:c r="H24" s="40" t="n">
        <x:f>SUMIFS(Customer_Invoices!$H$5:$H$34,Customer_Invoices!$A$5:$A$34,$D24,Customer_Invoices!$J$5:$J$34,H$8)</x:f>
        <x:v>0</x:v>
      </x:c>
      <x:c r="I24" s="40" t="n">
        <x:f>SUMIFS(Customer_Invoices!$H$5:$H$34,Customer_Invoices!$A$5:$A$34,$D24,Customer_Invoices!$J$5:$J$34,I$8)</x:f>
        <x:v>0</x:v>
      </x:c>
      <x:c r="J24" s="40" t="n">
        <x:f>SUM(E24:I24)</x:f>
        <x:v>22850</x:v>
      </x:c>
    </x:row>
    <x:row r="25">
      <x:c r="D25" t="str">
        <x:v>Shenandoah Builders Supply</x:v>
      </x:c>
      <x:c r="E25" s="40" t="n">
        <x:f>SUMIFS(Customer_Invoices!$H$5:$H$34,Customer_Invoices!$A$5:$A$34,$D25,Customer_Invoices!$J$5:$J$34,E$8)</x:f>
        <x:v>9200</x:v>
      </x:c>
      <x:c r="F25" s="40" t="n">
        <x:f>SUMIFS(Customer_Invoices!$H$5:$H$34,Customer_Invoices!$A$5:$A$34,$D25,Customer_Invoices!$J$5:$J$34,F$8)</x:f>
        <x:v>0</x:v>
      </x:c>
      <x:c r="G25" s="40" t="n">
        <x:f>SUMIFS(Customer_Invoices!$H$5:$H$34,Customer_Invoices!$A$5:$A$34,$D25,Customer_Invoices!$J$5:$J$34,G$8)</x:f>
        <x:v>0</x:v>
      </x:c>
      <x:c r="H25" s="40" t="n">
        <x:f>SUMIFS(Customer_Invoices!$H$5:$H$34,Customer_Invoices!$A$5:$A$34,$D25,Customer_Invoices!$J$5:$J$34,H$8)</x:f>
        <x:v>0</x:v>
      </x:c>
      <x:c r="I25" s="40" t="n">
        <x:f>SUMIFS(Customer_Invoices!$H$5:$H$34,Customer_Invoices!$A$5:$A$34,$D25,Customer_Invoices!$J$5:$J$34,I$8)</x:f>
        <x:v>0</x:v>
      </x:c>
      <x:c r="J25" s="40" t="n">
        <x:f>SUM(E25:I25)</x:f>
        <x:v>9200</x:v>
      </x:c>
    </x:row>
    <x:row r="26">
      <x:c r="D26" t="str">
        <x:v>Summit Contractors Group</x:v>
      </x:c>
      <x:c r="E26" s="40" t="n">
        <x:f>SUMIFS(Customer_Invoices!$H$5:$H$34,Customer_Invoices!$A$5:$A$34,$D26,Customer_Invoices!$J$5:$J$34,E$8)</x:f>
        <x:v>0</x:v>
      </x:c>
      <x:c r="F26" s="40" t="n">
        <x:f>SUMIFS(Customer_Invoices!$H$5:$H$34,Customer_Invoices!$A$5:$A$34,$D26,Customer_Invoices!$J$5:$J$34,F$8)</x:f>
        <x:v>8300</x:v>
      </x:c>
      <x:c r="G26" s="40" t="n">
        <x:f>SUMIFS(Customer_Invoices!$H$5:$H$34,Customer_Invoices!$A$5:$A$34,$D26,Customer_Invoices!$J$5:$J$34,G$8)</x:f>
        <x:v>0</x:v>
      </x:c>
      <x:c r="H26" s="40" t="n">
        <x:f>SUMIFS(Customer_Invoices!$H$5:$H$34,Customer_Invoices!$A$5:$A$34,$D26,Customer_Invoices!$J$5:$J$34,H$8)</x:f>
        <x:v>0</x:v>
      </x:c>
      <x:c r="I26" s="40" t="n">
        <x:f>SUMIFS(Customer_Invoices!$H$5:$H$34,Customer_Invoices!$A$5:$A$34,$D26,Customer_Invoices!$J$5:$J$34,I$8)</x:f>
        <x:v>0</x:v>
      </x:c>
      <x:c r="J26" s="40" t="n">
        <x:f>SUM(E26:I26)</x:f>
        <x:v>8300</x:v>
      </x:c>
    </x:row>
    <x:row r="27">
      <x:c r="D27" t="str">
        <x:v>Virginia Transit Parts</x:v>
      </x:c>
      <x:c r="E27" s="40" t="n">
        <x:f>SUMIFS(Customer_Invoices!$H$5:$H$34,Customer_Invoices!$A$5:$A$34,$D27,Customer_Invoices!$J$5:$J$34,E$8)</x:f>
        <x:v>30400</x:v>
      </x:c>
      <x:c r="F27" s="40" t="n">
        <x:f>SUMIFS(Customer_Invoices!$H$5:$H$34,Customer_Invoices!$A$5:$A$34,$D27,Customer_Invoices!$J$5:$J$34,F$8)</x:f>
        <x:v>0</x:v>
      </x:c>
      <x:c r="G27" s="40" t="n">
        <x:f>SUMIFS(Customer_Invoices!$H$5:$H$34,Customer_Invoices!$A$5:$A$34,$D27,Customer_Invoices!$J$5:$J$34,G$8)</x:f>
        <x:v>0</x:v>
      </x:c>
      <x:c r="H27" s="40" t="n">
        <x:f>SUMIFS(Customer_Invoices!$H$5:$H$34,Customer_Invoices!$A$5:$A$34,$D27,Customer_Invoices!$J$5:$J$34,H$8)</x:f>
        <x:v>0</x:v>
      </x:c>
      <x:c r="I27" s="40" t="n">
        <x:f>SUMIFS(Customer_Invoices!$H$5:$H$34,Customer_Invoices!$A$5:$A$34,$D27,Customer_Invoices!$J$5:$J$34,I$8)</x:f>
        <x:v>0</x:v>
      </x:c>
      <x:c r="J27" s="40" t="n">
        <x:f>SUM(E27:I27)</x:f>
        <x:v>30400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883f75525124698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1CC16D52-0BE4-4782-B991-86782C5743C7}"/>
</file>

<file path=customXml/itemProps2.xml><?xml version="1.0" encoding="utf-8"?>
<ds:datastoreItem xmlns:ds="http://schemas.openxmlformats.org/officeDocument/2006/customXml" ds:itemID="{53C98A5D-951A-4BA6-BAA4-6524A2A9872E}"/>
</file>

<file path=customXml/itemProps3.xml><?xml version="1.0" encoding="utf-8"?>
<ds:datastoreItem xmlns:ds="http://schemas.openxmlformats.org/officeDocument/2006/customXml" ds:itemID="{5A82E17C-631E-4F2E-ADA8-690BC7030F3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