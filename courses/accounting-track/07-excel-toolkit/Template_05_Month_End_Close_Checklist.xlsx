
<file path=[Content_Types].xml><?xml version="1.0" encoding="utf-8"?>
<Types xmlns="http://schemas.openxmlformats.org/package/2006/content-types">
  <Default Extension="rels" ContentType="application/vnd.openxmlformats-package.relationships+xml"/>
  <Default Extension="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customXml/item1.xml" ContentType="application/xml"/>
  <Override PartName="/customXml/itemProps1.xml" ContentType="application/vnd.openxmlformats-officedocument.customXmlProperties+xml"/>
  <Override PartName="/customXml/item2.xml" ContentType="application/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d686dc4725674ef3" Type="http://schemas.openxmlformats.org/officeDocument/2006/relationships/officeDocument" Target="/xl/workbook.xml"/><Relationship Id="rId1" Type="http://schemas.openxmlformats.org/officeDocument/2006/relationships/custom-properties" Target="docProps/custom.xml"/></Relationships>
</file>

<file path=xl/workbook.xml><?xml version="1.0" encoding="utf-8"?>
<x:workbook xmlns:x="http://schemas.openxmlformats.org/spreadsheetml/2006/main">
  <x:sheets>
    <x:sheet xmlns:r="http://schemas.openxmlformats.org/officeDocument/2006/relationships" name="Instructions" sheetId="1" r:id="Rd014e15e9bdc468a"/>
    <x:sheet xmlns:r="http://schemas.openxmlformats.org/officeDocument/2006/relationships" name="Settings" sheetId="2" r:id="Rd6636fb511f7481a"/>
    <x:sheet xmlns:r="http://schemas.openxmlformats.org/officeDocument/2006/relationships" name="Close_Checklist" sheetId="3" r:id="R9d72cb47d41448c3"/>
    <x:sheet xmlns:r="http://schemas.openxmlformats.org/officeDocument/2006/relationships" name="Status_Summary" sheetId="4" r:id="R4c598ffa1355432f"/>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mm/dd/yyyy"/>
    <x:numFmt numFmtId="201" formatCode="#,##0"/>
  </x:numFmts>
  <x:fonts count="5">
    <x:font>
      <x:sz val="11"/>
      <x:name val="Carlito"/>
    </x:font>
    <x:font>
      <x:b/>
      <x:sz val="16"/>
      <x:color rgb="FFFFFFFF"/>
      <x:name val="Carlito"/>
    </x:font>
    <x:font>
      <x:i/>
      <x:sz val="11"/>
      <x:color rgb="FF1F4E78"/>
      <x:name val="Carlito"/>
    </x:font>
    <x:font>
      <x:b/>
      <x:sz val="11"/>
      <x:color rgb="FFFFFFFF"/>
      <x:name val="Carlito"/>
    </x:font>
    <x:font>
      <x:b/>
      <x:sz val="11"/>
      <x:name val="Carlito"/>
    </x:font>
  </x:fonts>
  <x:fills count="6">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2F75B5"/>
      </x:patternFill>
    </x:fill>
    <x:fill>
      <x:patternFill patternType="solid">
        <x:fgColor rgb="FFEAF2F8"/>
      </x:patternFill>
    </x:fill>
  </x:fills>
  <x:borders count="2">
    <x:border/>
    <x:border/>
  </x:borders>
  <x:cellStyleXfs count="1">
    <x:xf numFmtId="0" fontId="0" fillId="0" borderId="0"/>
  </x:cellStyleXfs>
  <x:cellXfs count="4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top"/>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201" fontId="0" fillId="0" borderId="1" xfId="0" applyNumberFormat="1" applyFont="1" applyFill="1" applyBorder="1" applyAlignment="1">
      <x:alignment wrapText="1"/>
    </x:xf>
  </x:cellXfs>
  <x:cellStyles count="1">
    <x:cellStyle name="Normal" xfId="0"/>
  </x:cellStyles>
  <x:dxfs count="4">
    <x:dxf>
      <x:font>
        <x:b/>
        <x:color rgb="FF006100"/>
      </x:font>
      <x:fill>
        <x:patternFill patternType="solid">
          <x:bgColor rgb="FFE2F0D9"/>
        </x:patternFill>
      </x:fill>
    </x:dxf>
    <x:dxf>
      <x:font>
        <x:b/>
        <x:color rgb="FF1F4E78"/>
      </x:font>
      <x:fill>
        <x:patternFill patternType="solid">
          <x:bgColor rgb="FFDDEBF7"/>
        </x:patternFill>
      </x:fill>
    </x:dxf>
    <x:dxf>
      <x:font>
        <x:b/>
        <x:color rgb="FF9C0006"/>
      </x:font>
      <x:fill>
        <x:patternFill patternType="solid">
          <x:bgColor rgb="FFF4CCCC"/>
        </x:patternFill>
      </x:fill>
    </x:dxf>
    <x:dxf>
      <x:font>
        <x:b/>
        <x:color rgb="FF9C0006"/>
      </x:font>
      <x:fill>
        <x:patternFill patternType="solid">
          <x:bgColor rgb="FFFCE4D6"/>
        </x:patternFill>
      </x:fill>
    </x:dxf>
  </x:dxfs>
</x:styleSheet>
</file>

<file path=xl/_rels/workbook.xml.rels><?xml version="1.0" encoding="UTF-8" standalone="yes"?>
<Relationships xmlns="http://schemas.openxmlformats.org/package/2006/relationships"><Relationship Id="Rd6636fb511f7481a" Type="http://schemas.openxmlformats.org/officeDocument/2006/relationships/worksheet" Target="/xl/worksheets/sheet2.xml"/><Relationship Id="R4c598ffa1355432f" Type="http://schemas.openxmlformats.org/officeDocument/2006/relationships/worksheet" Target="/xl/worksheets/sheet4.xml"/><Relationship Id="rId3" Type="http://schemas.openxmlformats.org/officeDocument/2006/relationships/customXml" Target="../customXml/item3.xml"/><Relationship Id="R65ee2adf12fe4b49" Type="http://schemas.openxmlformats.org/officeDocument/2006/relationships/sharedStrings" Target="/xl/sharedStrings.xml"/><Relationship Id="Rd014e15e9bdc468a" Type="http://schemas.openxmlformats.org/officeDocument/2006/relationships/worksheet" Target="/xl/worksheets/sheet1.xml"/><Relationship Id="rId2" Type="http://schemas.openxmlformats.org/officeDocument/2006/relationships/customXml" Target="../customXml/item2.xml"/><Relationship Id="Rec24598f189143d4" Type="http://schemas.openxmlformats.org/officeDocument/2006/relationships/theme" Target="/xl/theme/theme1.xml"/><Relationship Id="R9d72cb47d41448c3" Type="http://schemas.openxmlformats.org/officeDocument/2006/relationships/worksheet" Target="/xl/worksheets/sheet3.xml"/><Relationship Id="rId1" Type="http://schemas.openxmlformats.org/officeDocument/2006/relationships/customXml" Target="../customXml/item1.xml"/><Relationship Id="R0167c3f2b48843e2" Type="http://schemas.openxmlformats.org/officeDocument/2006/relationships/styles" Target="/xl/styles.xml"/></Relationships>
</file>

<file path=xl/drawings/_rels/drawing1.xml.rels>&#65279;<?xml version="1.0" encoding="utf-8"?><Relationships xmlns="http://schemas.openxmlformats.org/package/2006/relationships"><Relationship Type="http://schemas.openxmlformats.org/officeDocument/2006/relationships/chart" Target="/xl/drawings/charts/chart1.xml" Id="R6864a936d2e34cf5" /></Relationships>
</file>

<file path=xl/drawings/charts/chart1.xml><?xml version="1.0" encoding="utf-8"?>
<c:chartSpace xmlns:c="http://schemas.openxmlformats.org/drawingml/2006/chart">
  <c:lang val="en-US"/>
  <c:roundedCorners val="0"/>
  <c:chart>
    <c:plotArea>
      <c:layout/>
      <c:barChart>
        <c:barDir val="col"/>
        <c:varyColors val="0"/>
        <c:ser>
          <c:idx val="0"/>
          <c:order val="0"/>
          <c:tx>
            <c:v>Count</c:v>
          </c:tx>
          <c:cat>
            <c:strRef>
              <c:f>'Status_Summary'!$A$7:$A$10</c:f>
              <c:strCache>
                <c:ptCount val="0"/>
              </c:strCache>
            </c:strRef>
          </c:cat>
          <c:val>
            <c:numRef>
              <c:f>'Status_Summary'!$B$7:$B$10</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8</xdr:col>
      <xdr:colOff>0</xdr:colOff>
      <xdr:row>3</xdr:row>
      <xdr:rowOff>0</xdr:rowOff>
    </xdr:from>
    <xdr:to>
      <xdr:col>16</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864a936d2e34cf5"/>
        </a:graphicData>
      </a:graphic>
    </xdr:graphicFrame>
    <xdr:clientData/>
  </xdr:twoCellAnchor>
</xdr:wsDr>
</file>

<file path=xl/tables/table1.xml><?xml version="1.0" encoding="utf-8"?>
<x:table xmlns:x="http://schemas.openxmlformats.org/spreadsheetml/2006/main" id="1" name="CloseChecklistTable" displayName="CloseChecklistTable" ref="A4:J34" headerRowCount="1">
  <x:tableColumns count="10">
    <x:tableColumn id="1" name="Step #"/>
    <x:tableColumn id="2" name="Close Day"/>
    <x:tableColumn id="3" name="Area"/>
    <x:tableColumn id="4" name="Task"/>
    <x:tableColumn id="5" name="Owner"/>
    <x:tableColumn id="6" name="Due Date"/>
    <x:tableColumn id="7" name="Status"/>
    <x:tableColumn id="8" name="Days Late"/>
    <x:tableColumn id="9" name="Reviewed By"/>
    <x:tableColumn id="10" name="Notes / Evidenc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a878ae583aee48b7" /></Relationships>
</file>

<file path=xl/worksheets/_rels/sheet4.xml.rels>&#65279;<?xml version="1.0" encoding="utf-8"?><Relationships xmlns="http://schemas.openxmlformats.org/package/2006/relationships"><Relationship Type="http://schemas.openxmlformats.org/officeDocument/2006/relationships/drawing" Target="/xl/drawings/drawing1.xml" Id="R5e317e652b2b4920" /></Relationships>
</file>

<file path=xl/worksheets/sheet1.xml><?xml version="1.0" encoding="utf-8"?>
<x:worksheet xmlns:x="http://schemas.openxmlformats.org/spreadsheetml/2006/main">
  <x:sheetFormatPr defaultRowHeight="15"/>
  <x:cols>
    <x:col min="1" max="1" width="22" hidden="0" customWidth="1"/>
    <x:col min="2" max="2" width="90" hidden="0" customWidth="1"/>
  </x:cols>
  <x:sheetData>
    <x:row r="1" ht="28" customHeight="1">
      <x:c r="A1" s="5" t="str">
        <x:v>Month-End Close Checklist</x:v>
      </x:c>
    </x:row>
    <x:row r="2" ht="24" customHeight="1">
      <x:c r="A2" s="13" t="str">
        <x:v>Template for tracking monthly accounting close tasks, ownership, due dates, and status.</x:v>
      </x:c>
    </x:row>
    <x:row r="4" ht="24" customHeight="1">
      <x:c r="A4" s="22" t="str">
        <x:v>Section</x:v>
      </x:c>
      <x:c r="B4" s="22" t="str">
        <x:v>Details</x:v>
      </x:c>
    </x:row>
    <x:row r="5">
      <x:c r="A5" s="30" t="str">
        <x:v>Purpose</x:v>
      </x:c>
      <x:c r="B5" s="35" t="str">
        <x:v>Template for tracking monthly accounting close tasks, ownership, due dates, and status.</x:v>
      </x:c>
    </x:row>
    <x:row r="6">
      <x:c r="A6" s="30" t="str">
        <x:v>How to Use</x:v>
      </x:c>
      <x:c r="B6" s="35" t="str">
        <x:v>1. Update the Close Month End Date on the Settings sheet.
2. Assign each task owner in the Close_Checklist sheet.
3. Update Status as work progresses.
4. Use Days Late and the Status Summary to identify blockers.
5. Use the Notes column to document issues, reviewer comments, and completion evidence.</x:v>
      </x:c>
    </x:row>
    <x:row r="7">
      <x:c r="A7" s="30" t="str">
        <x:v>Expected Output</x:v>
      </x:c>
      <x:c r="B7" s="35" t="str">
        <x:v>• Close task list with owners and deadlines
• Open, complete, blocked, and overdue task summary
• Evidence notes for review and audit support</x:v>
      </x:c>
    </x:row>
    <x:row r="8">
      <x:c r="A8" s="30" t="str">
        <x:v>Student Rule</x:v>
      </x:c>
      <x:c r="B8" s="35" t="str">
        <x:v>Use the sample data first. Then replace the sample rows with your assigned company data. Do not overwrite formula cells unless your instructor tells you to.</x:v>
      </x:c>
    </x:row>
    <x:row r="9">
      <x:c r="A9" s="30" t="str">
        <x:v>Skarion Simulation</x:v>
      </x:c>
      <x:c r="B9" s="35" t="str">
        <x:v>These templates support the Skarion Manufacturing LLC accounting job simulation and can be used as student handouts.</x:v>
      </x:c>
    </x:row>
  </x:sheetData>
  <x:mergeCells>
    <x:mergeCell ref="A1:G1"/>
    <x:mergeCell ref="A2:G2"/>
  </x:mergeCells>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18" hidden="0" customWidth="1"/>
    <x:col min="3" max="3" width="60" hidden="0" customWidth="1"/>
  </x:cols>
  <x:sheetData>
    <x:row r="1" ht="28" customHeight="1">
      <x:c r="A1" s="5" t="str">
        <x:v>Settings</x:v>
      </x:c>
    </x:row>
    <x:row r="2" ht="24" customHeight="1">
      <x:c r="A2" s="13" t="str">
        <x:v>Update these inputs before using the checklist.</x:v>
      </x:c>
    </x:row>
    <x:row r="4" ht="24" customHeight="1">
      <x:c r="A4" s="22" t="str">
        <x:v>Input</x:v>
      </x:c>
      <x:c r="B4" s="22" t="str">
        <x:v>Value</x:v>
      </x:c>
      <x:c r="C4" s="22" t="str">
        <x:v>Notes</x:v>
      </x:c>
    </x:row>
    <x:row r="5">
      <x:c r="A5" s="29" t="str">
        <x:v>Close Month End Date</x:v>
      </x:c>
      <x:c r="B5" s="38" t="n">
        <x:v>46112</x:v>
      </x:c>
      <x:c r="C5" t="str">
        <x:v>Last day of the month being closed</x:v>
      </x:c>
    </x:row>
    <x:row r="6">
      <x:c r="A6" s="29" t="str">
        <x:v>Close Start Date</x:v>
      </x:c>
      <x:c r="B6" s="38" t="n">
        <x:f>B5+1</x:f>
        <x:v>46113</x:v>
      </x:c>
      <x:c r="C6" t="str">
        <x:v>Usually the first day after month-end</x:v>
      </x:c>
    </x:row>
    <x:row r="7">
      <x:c r="A7" s="29" t="str">
        <x:v>Prepared By</x:v>
      </x:c>
      <x:c r="B7" t="str">
        <x:v>Student</x:v>
      </x:c>
      <x:c r="C7" t="str">
        <x:v>Name of preparer</x:v>
      </x:c>
    </x:row>
    <x:row r="8">
      <x:c r="A8" s="29" t="str">
        <x:v>Checklist Review Date</x:v>
      </x:c>
      <x:c r="B8" s="38" t="n">
        <x:v>46114</x:v>
      </x:c>
      <x:c r="C8" t="str">
        <x:v>Used to calculate Days Late. Update this for practice.</x:v>
      </x:c>
    </x:row>
  </x:sheetData>
  <x:mergeCells>
    <x:mergeCell ref="A1:E1"/>
    <x:mergeCell ref="A2:E2"/>
  </x:mergeCells>
  <x:pageMargins left="0.7" right="0.7" top="0.75" bottom="0.75" header="0.3" footer="0.3"/>
</x:worksheet>
</file>

<file path=xl/worksheets/sheet3.xml><?xml version="1.0" encoding="utf-8"?>
<x:worksheet xmlns:x="http://schemas.openxmlformats.org/spreadsheetml/2006/main">
  <x:sheetFormatPr defaultRowHeight="15"/>
  <x:cols>
    <x:col min="1" max="1" width="9" hidden="0" customWidth="1"/>
    <x:col min="2" max="2" width="10" hidden="0" customWidth="1"/>
    <x:col min="3" max="3" width="16" hidden="0" customWidth="1"/>
    <x:col min="4" max="4" width="44" hidden="0" customWidth="1"/>
    <x:col min="5" max="5" width="22" hidden="0" customWidth="1"/>
    <x:col min="6" max="6" width="12" hidden="0" customWidth="1"/>
    <x:col min="7" max="7" width="16" hidden="0" customWidth="1"/>
    <x:col min="8" max="8" width="10" hidden="0" customWidth="1"/>
    <x:col min="9" max="9" width="20" hidden="0" customWidth="1"/>
    <x:col min="10" max="10" width="45" hidden="0" customWidth="1"/>
  </x:cols>
  <x:sheetData>
    <x:row r="1" ht="28" customHeight="1">
      <x:c r="A1" s="5" t="str">
        <x:v>Month-End Close Checklist</x:v>
      </x:c>
    </x:row>
    <x:row r="2" ht="24" customHeight="1">
      <x:c r="A2" s="13" t="str">
        <x:v>Update status and notes as close work is completed.</x:v>
      </x:c>
    </x:row>
    <x:row r="4" ht="24" customHeight="1">
      <x:c r="A4" s="22" t="str">
        <x:v>Step #</x:v>
      </x:c>
      <x:c r="B4" s="22" t="str">
        <x:v>Close Day</x:v>
      </x:c>
      <x:c r="C4" s="22" t="str">
        <x:v>Area</x:v>
      </x:c>
      <x:c r="D4" s="22" t="str">
        <x:v>Task</x:v>
      </x:c>
      <x:c r="E4" s="22" t="str">
        <x:v>Owner</x:v>
      </x:c>
      <x:c r="F4" s="22" t="str">
        <x:v>Due Date</x:v>
      </x:c>
      <x:c r="G4" s="22" t="str">
        <x:v>Status</x:v>
      </x:c>
      <x:c r="H4" s="22" t="str">
        <x:v>Days Late</x:v>
      </x:c>
      <x:c r="I4" s="22" t="str">
        <x:v>Reviewed By</x:v>
      </x:c>
      <x:c r="J4" s="22" t="str">
        <x:v>Notes / Evidence</x:v>
      </x:c>
    </x:row>
    <x:row r="5">
      <x:c r="A5" s="34" t="n">
        <x:v>1</x:v>
      </x:c>
      <x:c r="B5" s="34" t="n">
        <x:v>1</x:v>
      </x:c>
      <x:c r="C5" s="34" t="str">
        <x:v>Banking</x:v>
      </x:c>
      <x:c r="D5" s="34" t="str">
        <x:v>Import bank activity and confirm beginning balances</x:v>
      </x:c>
      <x:c r="E5" s="34" t="str">
        <x:v>Staff Accountant</x:v>
      </x:c>
      <x:c r="F5" s="42" t="n">
        <x:f>Settings!$B$6+B5-1</x:f>
        <x:v>46113</x:v>
      </x:c>
      <x:c r="G5" s="34" t="str">
        <x:v>Not Started</x:v>
      </x:c>
      <x:c r="H5" s="43" t="n">
        <x:f>IF(G5="Complete",0,MAX(0,Settings!$B$8-F5))</x:f>
        <x:v>1</x:v>
      </x:c>
      <x:c r="I5" s="34" t="str"/>
      <x:c r="J5" s="34" t="str"/>
    </x:row>
    <x:row r="6">
      <x:c r="A6" s="34" t="n">
        <x:v>2</x:v>
      </x:c>
      <x:c r="B6" s="34" t="n">
        <x:v>1</x:v>
      </x:c>
      <x:c r="C6" s="34" t="str">
        <x:v>Banking</x:v>
      </x:c>
      <x:c r="D6" s="34" t="str">
        <x:v>Reconcile operating bank account</x:v>
      </x:c>
      <x:c r="E6" s="34" t="str">
        <x:v>Staff Accountant</x:v>
      </x:c>
      <x:c r="F6" s="42" t="n">
        <x:f>Settings!$B$6+B6-1</x:f>
        <x:v>46113</x:v>
      </x:c>
      <x:c r="G6" s="34" t="str">
        <x:v>Not Started</x:v>
      </x:c>
      <x:c r="H6" s="43" t="n">
        <x:f>IF(G6="Complete",0,MAX(0,Settings!$B$8-F6))</x:f>
        <x:v>1</x:v>
      </x:c>
      <x:c r="I6" s="34" t="str"/>
      <x:c r="J6" s="34" t="str"/>
    </x:row>
    <x:row r="7">
      <x:c r="A7" s="34" t="n">
        <x:v>3</x:v>
      </x:c>
      <x:c r="B7" s="34" t="n">
        <x:v>1</x:v>
      </x:c>
      <x:c r="C7" s="34" t="str">
        <x:v>Banking</x:v>
      </x:c>
      <x:c r="D7" s="34" t="str">
        <x:v>Reconcile credit card account</x:v>
      </x:c>
      <x:c r="E7" s="34" t="str">
        <x:v>Staff Accountant</x:v>
      </x:c>
      <x:c r="F7" s="42" t="n">
        <x:f>Settings!$B$6+B7-1</x:f>
        <x:v>46113</x:v>
      </x:c>
      <x:c r="G7" s="34" t="str">
        <x:v>Not Started</x:v>
      </x:c>
      <x:c r="H7" s="43" t="n">
        <x:f>IF(G7="Complete",0,MAX(0,Settings!$B$8-F7))</x:f>
        <x:v>1</x:v>
      </x:c>
      <x:c r="I7" s="34" t="str"/>
      <x:c r="J7" s="34" t="str"/>
    </x:row>
    <x:row r="8">
      <x:c r="A8" s="34" t="n">
        <x:v>4</x:v>
      </x:c>
      <x:c r="B8" s="34" t="n">
        <x:v>1</x:v>
      </x:c>
      <x:c r="C8" s="34" t="str">
        <x:v>AR</x:v>
      </x:c>
      <x:c r="D8" s="34" t="str">
        <x:v>Post all customer invoices for the month</x:v>
      </x:c>
      <x:c r="E8" s="34" t="str">
        <x:v>AR Specialist</x:v>
      </x:c>
      <x:c r="F8" s="42" t="n">
        <x:f>Settings!$B$6+B8-1</x:f>
        <x:v>46113</x:v>
      </x:c>
      <x:c r="G8" s="34" t="str">
        <x:v>Not Started</x:v>
      </x:c>
      <x:c r="H8" s="43" t="n">
        <x:f>IF(G8="Complete",0,MAX(0,Settings!$B$8-F8))</x:f>
        <x:v>1</x:v>
      </x:c>
      <x:c r="I8" s="34" t="str"/>
      <x:c r="J8" s="34" t="str"/>
    </x:row>
    <x:row r="9">
      <x:c r="A9" s="34" t="n">
        <x:v>5</x:v>
      </x:c>
      <x:c r="B9" s="34" t="n">
        <x:v>1</x:v>
      </x:c>
      <x:c r="C9" s="34" t="str">
        <x:v>AR</x:v>
      </x:c>
      <x:c r="D9" s="34" t="str">
        <x:v>Apply customer payments to invoices</x:v>
      </x:c>
      <x:c r="E9" s="34" t="str">
        <x:v>AR Specialist</x:v>
      </x:c>
      <x:c r="F9" s="42" t="n">
        <x:f>Settings!$B$6+B9-1</x:f>
        <x:v>46113</x:v>
      </x:c>
      <x:c r="G9" s="34" t="str">
        <x:v>Not Started</x:v>
      </x:c>
      <x:c r="H9" s="43" t="n">
        <x:f>IF(G9="Complete",0,MAX(0,Settings!$B$8-F9))</x:f>
        <x:v>1</x:v>
      </x:c>
      <x:c r="I9" s="34" t="str"/>
      <x:c r="J9" s="34" t="str"/>
    </x:row>
    <x:row r="10">
      <x:c r="A10" s="34" t="n">
        <x:v>6</x:v>
      </x:c>
      <x:c r="B10" s="34" t="n">
        <x:v>2</x:v>
      </x:c>
      <x:c r="C10" s="34" t="str">
        <x:v>AR</x:v>
      </x:c>
      <x:c r="D10" s="34" t="str">
        <x:v>Prepare AR aging and identify overdue accounts</x:v>
      </x:c>
      <x:c r="E10" s="34" t="str">
        <x:v>AR Specialist</x:v>
      </x:c>
      <x:c r="F10" s="42" t="n">
        <x:f>Settings!$B$6+B10-1</x:f>
        <x:v>46114</x:v>
      </x:c>
      <x:c r="G10" s="34" t="str">
        <x:v>Not Started</x:v>
      </x:c>
      <x:c r="H10" s="43" t="n">
        <x:f>IF(G10="Complete",0,MAX(0,Settings!$B$8-F10))</x:f>
        <x:v>0</x:v>
      </x:c>
      <x:c r="I10" s="34" t="str"/>
      <x:c r="J10" s="34" t="str"/>
    </x:row>
    <x:row r="11">
      <x:c r="A11" s="34" t="n">
        <x:v>7</x:v>
      </x:c>
      <x:c r="B11" s="34" t="n">
        <x:v>2</x:v>
      </x:c>
      <x:c r="C11" s="34" t="str">
        <x:v>AP</x:v>
      </x:c>
      <x:c r="D11" s="34" t="str">
        <x:v>Enter all vendor bills received by cutoff</x:v>
      </x:c>
      <x:c r="E11" s="34" t="str">
        <x:v>AP Specialist</x:v>
      </x:c>
      <x:c r="F11" s="42" t="n">
        <x:f>Settings!$B$6+B11-1</x:f>
        <x:v>46114</x:v>
      </x:c>
      <x:c r="G11" s="34" t="str">
        <x:v>Not Started</x:v>
      </x:c>
      <x:c r="H11" s="43" t="n">
        <x:f>IF(G11="Complete",0,MAX(0,Settings!$B$8-F11))</x:f>
        <x:v>0</x:v>
      </x:c>
      <x:c r="I11" s="34" t="str"/>
      <x:c r="J11" s="34" t="str"/>
    </x:row>
    <x:row r="12">
      <x:c r="A12" s="34" t="n">
        <x:v>8</x:v>
      </x:c>
      <x:c r="B12" s="34" t="n">
        <x:v>2</x:v>
      </x:c>
      <x:c r="C12" s="34" t="str">
        <x:v>AP</x:v>
      </x:c>
      <x:c r="D12" s="34" t="str">
        <x:v>Match vendor bills to purchase orders and receiving records</x:v>
      </x:c>
      <x:c r="E12" s="34" t="str">
        <x:v>AP Specialist</x:v>
      </x:c>
      <x:c r="F12" s="42" t="n">
        <x:f>Settings!$B$6+B12-1</x:f>
        <x:v>46114</x:v>
      </x:c>
      <x:c r="G12" s="34" t="str">
        <x:v>Not Started</x:v>
      </x:c>
      <x:c r="H12" s="43" t="n">
        <x:f>IF(G12="Complete",0,MAX(0,Settings!$B$8-F12))</x:f>
        <x:v>0</x:v>
      </x:c>
      <x:c r="I12" s="34" t="str"/>
      <x:c r="J12" s="34" t="str"/>
    </x:row>
    <x:row r="13">
      <x:c r="A13" s="34" t="n">
        <x:v>9</x:v>
      </x:c>
      <x:c r="B13" s="34" t="n">
        <x:v>2</x:v>
      </x:c>
      <x:c r="C13" s="34" t="str">
        <x:v>AP</x:v>
      </x:c>
      <x:c r="D13" s="34" t="str">
        <x:v>Prepare AP aging and payment priority list</x:v>
      </x:c>
      <x:c r="E13" s="34" t="str">
        <x:v>AP Specialist</x:v>
      </x:c>
      <x:c r="F13" s="42" t="n">
        <x:f>Settings!$B$6+B13-1</x:f>
        <x:v>46114</x:v>
      </x:c>
      <x:c r="G13" s="34" t="str">
        <x:v>Not Started</x:v>
      </x:c>
      <x:c r="H13" s="43" t="n">
        <x:f>IF(G13="Complete",0,MAX(0,Settings!$B$8-F13))</x:f>
        <x:v>0</x:v>
      </x:c>
      <x:c r="I13" s="34" t="str"/>
      <x:c r="J13" s="34" t="str"/>
    </x:row>
    <x:row r="14">
      <x:c r="A14" s="34" t="n">
        <x:v>10</x:v>
      </x:c>
      <x:c r="B14" s="34" t="n">
        <x:v>2</x:v>
      </x:c>
      <x:c r="C14" s="34" t="str">
        <x:v>Inventory</x:v>
      </x:c>
      <x:c r="D14" s="34" t="str">
        <x:v>Review inventory receiving and usage records</x:v>
      </x:c>
      <x:c r="E14" s="34" t="str">
        <x:v>Staff Accountant</x:v>
      </x:c>
      <x:c r="F14" s="42" t="n">
        <x:f>Settings!$B$6+B14-1</x:f>
        <x:v>46114</x:v>
      </x:c>
      <x:c r="G14" s="34" t="str">
        <x:v>Not Started</x:v>
      </x:c>
      <x:c r="H14" s="43" t="n">
        <x:f>IF(G14="Complete",0,MAX(0,Settings!$B$8-F14))</x:f>
        <x:v>0</x:v>
      </x:c>
      <x:c r="I14" s="34" t="str"/>
      <x:c r="J14" s="34" t="str"/>
    </x:row>
    <x:row r="15">
      <x:c r="A15" s="34" t="n">
        <x:v>11</x:v>
      </x:c>
      <x:c r="B15" s="34" t="n">
        <x:v>3</x:v>
      </x:c>
      <x:c r="C15" s="34" t="str">
        <x:v>Inventory</x:v>
      </x:c>
      <x:c r="D15" s="34" t="str">
        <x:v>Post inventory adjustment if physical count differs</x:v>
      </x:c>
      <x:c r="E15" s="34" t="str">
        <x:v>Staff Accountant</x:v>
      </x:c>
      <x:c r="F15" s="42" t="n">
        <x:f>Settings!$B$6+B15-1</x:f>
        <x:v>46115</x:v>
      </x:c>
      <x:c r="G15" s="34" t="str">
        <x:v>Not Started</x:v>
      </x:c>
      <x:c r="H15" s="43" t="n">
        <x:f>IF(G15="Complete",0,MAX(0,Settings!$B$8-F15))</x:f>
        <x:v>0</x:v>
      </x:c>
      <x:c r="I15" s="34" t="str"/>
      <x:c r="J15" s="34" t="str"/>
    </x:row>
    <x:row r="16">
      <x:c r="A16" s="34" t="n">
        <x:v>12</x:v>
      </x:c>
      <x:c r="B16" s="34" t="n">
        <x:v>3</x:v>
      </x:c>
      <x:c r="C16" s="34" t="str">
        <x:v>Payroll</x:v>
      </x:c>
      <x:c r="D16" s="34" t="str">
        <x:v>Record payroll journal entry</x:v>
      </x:c>
      <x:c r="E16" s="34" t="str">
        <x:v>Payroll Coordinator</x:v>
      </x:c>
      <x:c r="F16" s="42" t="n">
        <x:f>Settings!$B$6+B16-1</x:f>
        <x:v>46115</x:v>
      </x:c>
      <x:c r="G16" s="34" t="str">
        <x:v>Not Started</x:v>
      </x:c>
      <x:c r="H16" s="43" t="n">
        <x:f>IF(G16="Complete",0,MAX(0,Settings!$B$8-F16))</x:f>
        <x:v>0</x:v>
      </x:c>
      <x:c r="I16" s="34" t="str"/>
      <x:c r="J16" s="34" t="str"/>
    </x:row>
    <x:row r="17">
      <x:c r="A17" s="34" t="n">
        <x:v>13</x:v>
      </x:c>
      <x:c r="B17" s="34" t="n">
        <x:v>3</x:v>
      </x:c>
      <x:c r="C17" s="34" t="str">
        <x:v>Payroll</x:v>
      </x:c>
      <x:c r="D17" s="34" t="str">
        <x:v>Reconcile payroll register to GL and bank withdrawal</x:v>
      </x:c>
      <x:c r="E17" s="34" t="str">
        <x:v>Payroll Coordinator</x:v>
      </x:c>
      <x:c r="F17" s="42" t="n">
        <x:f>Settings!$B$6+B17-1</x:f>
        <x:v>46115</x:v>
      </x:c>
      <x:c r="G17" s="34" t="str">
        <x:v>Not Started</x:v>
      </x:c>
      <x:c r="H17" s="43" t="n">
        <x:f>IF(G17="Complete",0,MAX(0,Settings!$B$8-F17))</x:f>
        <x:v>0</x:v>
      </x:c>
      <x:c r="I17" s="34" t="str"/>
      <x:c r="J17" s="34" t="str"/>
    </x:row>
    <x:row r="18">
      <x:c r="A18" s="34" t="n">
        <x:v>14</x:v>
      </x:c>
      <x:c r="B18" s="34" t="n">
        <x:v>3</x:v>
      </x:c>
      <x:c r="C18" s="34" t="str">
        <x:v>Payroll</x:v>
      </x:c>
      <x:c r="D18" s="34" t="str">
        <x:v>Record employer payroll tax expense and liabilities</x:v>
      </x:c>
      <x:c r="E18" s="34" t="str">
        <x:v>Payroll Coordinator</x:v>
      </x:c>
      <x:c r="F18" s="42" t="n">
        <x:f>Settings!$B$6+B18-1</x:f>
        <x:v>46115</x:v>
      </x:c>
      <x:c r="G18" s="34" t="str">
        <x:v>Not Started</x:v>
      </x:c>
      <x:c r="H18" s="43" t="n">
        <x:f>IF(G18="Complete",0,MAX(0,Settings!$B$8-F18))</x:f>
        <x:v>0</x:v>
      </x:c>
      <x:c r="I18" s="34" t="str"/>
      <x:c r="J18" s="34" t="str"/>
    </x:row>
    <x:row r="19">
      <x:c r="A19" s="34" t="n">
        <x:v>15</x:v>
      </x:c>
      <x:c r="B19" s="34" t="n">
        <x:v>3</x:v>
      </x:c>
      <x:c r="C19" s="34" t="str">
        <x:v>Fixed Assets</x:v>
      </x:c>
      <x:c r="D19" s="34" t="str">
        <x:v>Update fixed asset register for additions/disposals</x:v>
      </x:c>
      <x:c r="E19" s="34" t="str">
        <x:v>Staff Accountant</x:v>
      </x:c>
      <x:c r="F19" s="42" t="n">
        <x:f>Settings!$B$6+B19-1</x:f>
        <x:v>46115</x:v>
      </x:c>
      <x:c r="G19" s="34" t="str">
        <x:v>Not Started</x:v>
      </x:c>
      <x:c r="H19" s="43" t="n">
        <x:f>IF(G19="Complete",0,MAX(0,Settings!$B$8-F19))</x:f>
        <x:v>0</x:v>
      </x:c>
      <x:c r="I19" s="34" t="str"/>
      <x:c r="J19" s="34" t="str"/>
    </x:row>
    <x:row r="20">
      <x:c r="A20" s="34" t="n">
        <x:v>16</x:v>
      </x:c>
      <x:c r="B20" s="34" t="n">
        <x:v>3</x:v>
      </x:c>
      <x:c r="C20" s="34" t="str">
        <x:v>Fixed Assets</x:v>
      </x:c>
      <x:c r="D20" s="34" t="str">
        <x:v>Calculate and post monthly depreciation</x:v>
      </x:c>
      <x:c r="E20" s="34" t="str">
        <x:v>Staff Accountant</x:v>
      </x:c>
      <x:c r="F20" s="42" t="n">
        <x:f>Settings!$B$6+B20-1</x:f>
        <x:v>46115</x:v>
      </x:c>
      <x:c r="G20" s="34" t="str">
        <x:v>Not Started</x:v>
      </x:c>
      <x:c r="H20" s="43" t="n">
        <x:f>IF(G20="Complete",0,MAX(0,Settings!$B$8-F20))</x:f>
        <x:v>0</x:v>
      </x:c>
      <x:c r="I20" s="34" t="str"/>
      <x:c r="J20" s="34" t="str"/>
    </x:row>
    <x:row r="21">
      <x:c r="A21" s="34" t="n">
        <x:v>17</x:v>
      </x:c>
      <x:c r="B21" s="34" t="n">
        <x:v>4</x:v>
      </x:c>
      <x:c r="C21" s="34" t="str">
        <x:v>Accruals</x:v>
      </x:c>
      <x:c r="D21" s="34" t="str">
        <x:v>Post utility and expense accruals</x:v>
      </x:c>
      <x:c r="E21" s="34" t="str">
        <x:v>Staff Accountant</x:v>
      </x:c>
      <x:c r="F21" s="42" t="n">
        <x:f>Settings!$B$6+B21-1</x:f>
        <x:v>46116</x:v>
      </x:c>
      <x:c r="G21" s="34" t="str">
        <x:v>Not Started</x:v>
      </x:c>
      <x:c r="H21" s="43" t="n">
        <x:f>IF(G21="Complete",0,MAX(0,Settings!$B$8-F21))</x:f>
        <x:v>0</x:v>
      </x:c>
      <x:c r="I21" s="34" t="str"/>
      <x:c r="J21" s="34" t="str"/>
    </x:row>
    <x:row r="22">
      <x:c r="A22" s="34" t="n">
        <x:v>18</x:v>
      </x:c>
      <x:c r="B22" s="34" t="n">
        <x:v>4</x:v>
      </x:c>
      <x:c r="C22" s="34" t="str">
        <x:v>Prepaids</x:v>
      </x:c>
      <x:c r="D22" s="34" t="str">
        <x:v>Record prepaid insurance amortization</x:v>
      </x:c>
      <x:c r="E22" s="34" t="str">
        <x:v>Staff Accountant</x:v>
      </x:c>
      <x:c r="F22" s="42" t="n">
        <x:f>Settings!$B$6+B22-1</x:f>
        <x:v>46116</x:v>
      </x:c>
      <x:c r="G22" s="34" t="str">
        <x:v>Not Started</x:v>
      </x:c>
      <x:c r="H22" s="43" t="n">
        <x:f>IF(G22="Complete",0,MAX(0,Settings!$B$8-F22))</x:f>
        <x:v>0</x:v>
      </x:c>
      <x:c r="I22" s="34" t="str"/>
      <x:c r="J22" s="34" t="str"/>
    </x:row>
    <x:row r="23">
      <x:c r="A23" s="34" t="n">
        <x:v>19</x:v>
      </x:c>
      <x:c r="B23" s="34" t="n">
        <x:v>4</x:v>
      </x:c>
      <x:c r="C23" s="34" t="str">
        <x:v>Debt</x:v>
      </x:c>
      <x:c r="D23" s="34" t="str">
        <x:v>Record loan interest and principal split</x:v>
      </x:c>
      <x:c r="E23" s="34" t="str">
        <x:v>Staff Accountant</x:v>
      </x:c>
      <x:c r="F23" s="42" t="n">
        <x:f>Settings!$B$6+B23-1</x:f>
        <x:v>46116</x:v>
      </x:c>
      <x:c r="G23" s="34" t="str">
        <x:v>Not Started</x:v>
      </x:c>
      <x:c r="H23" s="43" t="n">
        <x:f>IF(G23="Complete",0,MAX(0,Settings!$B$8-F23))</x:f>
        <x:v>0</x:v>
      </x:c>
      <x:c r="I23" s="34" t="str"/>
      <x:c r="J23" s="34" t="str"/>
    </x:row>
    <x:row r="24">
      <x:c r="A24" s="34" t="n">
        <x:v>20</x:v>
      </x:c>
      <x:c r="B24" s="34" t="n">
        <x:v>4</x:v>
      </x:c>
      <x:c r="C24" s="34" t="str">
        <x:v>Taxes</x:v>
      </x:c>
      <x:c r="D24" s="34" t="str">
        <x:v>Review sales tax payable and payroll tax liabilities</x:v>
      </x:c>
      <x:c r="E24" s="34" t="str">
        <x:v>Staff Accountant</x:v>
      </x:c>
      <x:c r="F24" s="42" t="n">
        <x:f>Settings!$B$6+B24-1</x:f>
        <x:v>46116</x:v>
      </x:c>
      <x:c r="G24" s="34" t="str">
        <x:v>Not Started</x:v>
      </x:c>
      <x:c r="H24" s="43" t="n">
        <x:f>IF(G24="Complete",0,MAX(0,Settings!$B$8-F24))</x:f>
        <x:v>0</x:v>
      </x:c>
      <x:c r="I24" s="34" t="str"/>
      <x:c r="J24" s="34" t="str"/>
    </x:row>
    <x:row r="25">
      <x:c r="A25" s="34" t="n">
        <x:v>21</x:v>
      </x:c>
      <x:c r="B25" s="34" t="n">
        <x:v>4</x:v>
      </x:c>
      <x:c r="C25" s="34" t="str">
        <x:v>GL Review</x:v>
      </x:c>
      <x:c r="D25" s="34" t="str">
        <x:v>Review trial balance for unusual balances</x:v>
      </x:c>
      <x:c r="E25" s="34" t="str">
        <x:v>Accounting Manager</x:v>
      </x:c>
      <x:c r="F25" s="42" t="n">
        <x:f>Settings!$B$6+B25-1</x:f>
        <x:v>46116</x:v>
      </x:c>
      <x:c r="G25" s="34" t="str">
        <x:v>Not Started</x:v>
      </x:c>
      <x:c r="H25" s="43" t="n">
        <x:f>IF(G25="Complete",0,MAX(0,Settings!$B$8-F25))</x:f>
        <x:v>0</x:v>
      </x:c>
      <x:c r="I25" s="34" t="str"/>
      <x:c r="J25" s="34" t="str"/>
    </x:row>
    <x:row r="26">
      <x:c r="A26" s="34" t="n">
        <x:v>22</x:v>
      </x:c>
      <x:c r="B26" s="34" t="n">
        <x:v>5</x:v>
      </x:c>
      <x:c r="C26" s="34" t="str">
        <x:v>Reconciliation</x:v>
      </x:c>
      <x:c r="D26" s="34" t="str">
        <x:v>Reconcile AR subledger to GL</x:v>
      </x:c>
      <x:c r="E26" s="34" t="str">
        <x:v>Accounting Manager</x:v>
      </x:c>
      <x:c r="F26" s="42" t="n">
        <x:f>Settings!$B$6+B26-1</x:f>
        <x:v>46117</x:v>
      </x:c>
      <x:c r="G26" s="34" t="str">
        <x:v>Not Started</x:v>
      </x:c>
      <x:c r="H26" s="43" t="n">
        <x:f>IF(G26="Complete",0,MAX(0,Settings!$B$8-F26))</x:f>
        <x:v>0</x:v>
      </x:c>
      <x:c r="I26" s="34" t="str"/>
      <x:c r="J26" s="34" t="str"/>
    </x:row>
    <x:row r="27">
      <x:c r="A27" s="34" t="n">
        <x:v>23</x:v>
      </x:c>
      <x:c r="B27" s="34" t="n">
        <x:v>5</x:v>
      </x:c>
      <x:c r="C27" s="34" t="str">
        <x:v>Reconciliation</x:v>
      </x:c>
      <x:c r="D27" s="34" t="str">
        <x:v>Reconcile AP subledger to GL</x:v>
      </x:c>
      <x:c r="E27" s="34" t="str">
        <x:v>Accounting Manager</x:v>
      </x:c>
      <x:c r="F27" s="42" t="n">
        <x:f>Settings!$B$6+B27-1</x:f>
        <x:v>46117</x:v>
      </x:c>
      <x:c r="G27" s="34" t="str">
        <x:v>Not Started</x:v>
      </x:c>
      <x:c r="H27" s="43" t="n">
        <x:f>IF(G27="Complete",0,MAX(0,Settings!$B$8-F27))</x:f>
        <x:v>0</x:v>
      </x:c>
      <x:c r="I27" s="34" t="str"/>
      <x:c r="J27" s="34" t="str"/>
    </x:row>
    <x:row r="28">
      <x:c r="A28" s="34" t="n">
        <x:v>24</x:v>
      </x:c>
      <x:c r="B28" s="34" t="n">
        <x:v>5</x:v>
      </x:c>
      <x:c r="C28" s="34" t="str">
        <x:v>Reconciliation</x:v>
      </x:c>
      <x:c r="D28" s="34" t="str">
        <x:v>Reconcile fixed assets to GL</x:v>
      </x:c>
      <x:c r="E28" s="34" t="str">
        <x:v>Accounting Manager</x:v>
      </x:c>
      <x:c r="F28" s="42" t="n">
        <x:f>Settings!$B$6+B28-1</x:f>
        <x:v>46117</x:v>
      </x:c>
      <x:c r="G28" s="34" t="str">
        <x:v>Not Started</x:v>
      </x:c>
      <x:c r="H28" s="43" t="n">
        <x:f>IF(G28="Complete",0,MAX(0,Settings!$B$8-F28))</x:f>
        <x:v>0</x:v>
      </x:c>
      <x:c r="I28" s="34" t="str"/>
      <x:c r="J28" s="34" t="str"/>
    </x:row>
    <x:row r="29">
      <x:c r="A29" s="34" t="n">
        <x:v>25</x:v>
      </x:c>
      <x:c r="B29" s="34" t="n">
        <x:v>5</x:v>
      </x:c>
      <x:c r="C29" s="34" t="str">
        <x:v>Reporting</x:v>
      </x:c>
      <x:c r="D29" s="34" t="str">
        <x:v>Prepare income statement</x:v>
      </x:c>
      <x:c r="E29" s="34" t="str">
        <x:v>Accounting Manager</x:v>
      </x:c>
      <x:c r="F29" s="42" t="n">
        <x:f>Settings!$B$6+B29-1</x:f>
        <x:v>46117</x:v>
      </x:c>
      <x:c r="G29" s="34" t="str">
        <x:v>Not Started</x:v>
      </x:c>
      <x:c r="H29" s="43" t="n">
        <x:f>IF(G29="Complete",0,MAX(0,Settings!$B$8-F29))</x:f>
        <x:v>0</x:v>
      </x:c>
      <x:c r="I29" s="34" t="str"/>
      <x:c r="J29" s="34" t="str"/>
    </x:row>
    <x:row r="30">
      <x:c r="A30" s="34" t="n">
        <x:v>26</x:v>
      </x:c>
      <x:c r="B30" s="34" t="n">
        <x:v>5</x:v>
      </x:c>
      <x:c r="C30" s="34" t="str">
        <x:v>Reporting</x:v>
      </x:c>
      <x:c r="D30" s="34" t="str">
        <x:v>Prepare balance sheet</x:v>
      </x:c>
      <x:c r="E30" s="34" t="str">
        <x:v>Accounting Manager</x:v>
      </x:c>
      <x:c r="F30" s="42" t="n">
        <x:f>Settings!$B$6+B30-1</x:f>
        <x:v>46117</x:v>
      </x:c>
      <x:c r="G30" s="34" t="str">
        <x:v>Not Started</x:v>
      </x:c>
      <x:c r="H30" s="43" t="n">
        <x:f>IF(G30="Complete",0,MAX(0,Settings!$B$8-F30))</x:f>
        <x:v>0</x:v>
      </x:c>
      <x:c r="I30" s="34" t="str"/>
      <x:c r="J30" s="34" t="str"/>
    </x:row>
    <x:row r="31">
      <x:c r="A31" s="34" t="n">
        <x:v>27</x:v>
      </x:c>
      <x:c r="B31" s="34" t="n">
        <x:v>5</x:v>
      </x:c>
      <x:c r="C31" s="34" t="str">
        <x:v>Reporting</x:v>
      </x:c>
      <x:c r="D31" s="34" t="str">
        <x:v>Prepare cash flow statement</x:v>
      </x:c>
      <x:c r="E31" s="34" t="str">
        <x:v>Accounting Manager</x:v>
      </x:c>
      <x:c r="F31" s="42" t="n">
        <x:f>Settings!$B$6+B31-1</x:f>
        <x:v>46117</x:v>
      </x:c>
      <x:c r="G31" s="34" t="str">
        <x:v>Not Started</x:v>
      </x:c>
      <x:c r="H31" s="43" t="n">
        <x:f>IF(G31="Complete",0,MAX(0,Settings!$B$8-F31))</x:f>
        <x:v>0</x:v>
      </x:c>
      <x:c r="I31" s="34" t="str"/>
      <x:c r="J31" s="34" t="str"/>
    </x:row>
    <x:row r="32">
      <x:c r="A32" s="34" t="n">
        <x:v>28</x:v>
      </x:c>
      <x:c r="B32" s="34" t="n">
        <x:v>5</x:v>
      </x:c>
      <x:c r="C32" s="34" t="str">
        <x:v>Reporting</x:v>
      </x:c>
      <x:c r="D32" s="34" t="str">
        <x:v>Prepare management summary for CEO</x:v>
      </x:c>
      <x:c r="E32" s="34" t="str">
        <x:v>Accounting Manager</x:v>
      </x:c>
      <x:c r="F32" s="42" t="n">
        <x:f>Settings!$B$6+B32-1</x:f>
        <x:v>46117</x:v>
      </x:c>
      <x:c r="G32" s="34" t="str">
        <x:v>Not Started</x:v>
      </x:c>
      <x:c r="H32" s="43" t="n">
        <x:f>IF(G32="Complete",0,MAX(0,Settings!$B$8-F32))</x:f>
        <x:v>0</x:v>
      </x:c>
      <x:c r="I32" s="34" t="str"/>
      <x:c r="J32" s="34" t="str"/>
    </x:row>
    <x:row r="33">
      <x:c r="A33" s="34" t="n">
        <x:v>29</x:v>
      </x:c>
      <x:c r="B33" s="34" t="n">
        <x:v>5</x:v>
      </x:c>
      <x:c r="C33" s="34" t="str">
        <x:v>Review</x:v>
      </x:c>
      <x:c r="D33" s="34" t="str">
        <x:v>Review financial package and approve close</x:v>
      </x:c>
      <x:c r="E33" s="34" t="str">
        <x:v>Controller</x:v>
      </x:c>
      <x:c r="F33" s="42" t="n">
        <x:f>Settings!$B$6+B33-1</x:f>
        <x:v>46117</x:v>
      </x:c>
      <x:c r="G33" s="34" t="str">
        <x:v>Not Started</x:v>
      </x:c>
      <x:c r="H33" s="43" t="n">
        <x:f>IF(G33="Complete",0,MAX(0,Settings!$B$8-F33))</x:f>
        <x:v>0</x:v>
      </x:c>
      <x:c r="I33" s="34" t="str"/>
      <x:c r="J33" s="34" t="str"/>
    </x:row>
    <x:row r="34">
      <x:c r="A34" s="34" t="n">
        <x:v>30</x:v>
      </x:c>
      <x:c r="B34" s="34" t="n">
        <x:v>5</x:v>
      </x:c>
      <x:c r="C34" s="34" t="str">
        <x:v>Archive</x:v>
      </x:c>
      <x:c r="D34" s="34" t="str">
        <x:v>Save support files and close checklist evidence</x:v>
      </x:c>
      <x:c r="E34" s="34" t="str">
        <x:v>Staff Accountant</x:v>
      </x:c>
      <x:c r="F34" s="42" t="n">
        <x:f>Settings!$B$6+B34-1</x:f>
        <x:v>46117</x:v>
      </x:c>
      <x:c r="G34" s="34" t="str">
        <x:v>Not Started</x:v>
      </x:c>
      <x:c r="H34" s="43" t="n">
        <x:f>IF(G34="Complete",0,MAX(0,Settings!$B$8-F34))</x:f>
        <x:v>0</x:v>
      </x:c>
      <x:c r="I34" s="34" t="str"/>
      <x:c r="J34" s="34" t="str"/>
    </x:row>
  </x:sheetData>
  <x:mergeCells>
    <x:mergeCell ref="A1:J1"/>
    <x:mergeCell ref="A2:J2"/>
  </x:mergeCells>
  <x:conditionalFormatting sqref="G5:G34">
    <x:cfRule type="expression" dxfId="0" priority="1">
      <x:formula>G5="Complete"</x:formula>
    </x:cfRule>
    <x:cfRule type="expression" dxfId="1" priority="2">
      <x:formula>G5="In Progress"</x:formula>
    </x:cfRule>
    <x:cfRule type="expression" dxfId="2" priority="3">
      <x:formula>G5="Blocked"</x:formula>
    </x:cfRule>
  </x:conditionalFormatting>
  <x:conditionalFormatting sqref="H5:H34">
    <x:cfRule type="cellIs" dxfId="3" priority="4" operator="greaterThan">
      <x:formula>0</x:formula>
    </x:cfRule>
  </x:conditionalFormatting>
  <x:dataValidations count="1">
    <x:dataValidation type="list" sqref="G5:G34">
      <x:formula1>"Not Started,In Progress,Complete,Blocked"</x:formula1>
    </x:dataValidation>
  </x:dataValidations>
  <x:pageMargins left="0.7" right="0.7" top="0.75" bottom="0.75" header="0.3" footer="0.3"/>
  <x:tableParts count="1">
    <x:tablePart xmlns:r="http://schemas.openxmlformats.org/officeDocument/2006/relationships" r:id="Ra878ae583aee48b7"/>
  </x:tableParts>
</x:worksheet>
</file>

<file path=xl/worksheets/sheet4.xml><?xml version="1.0" encoding="utf-8"?>
<x:worksheet xmlns:x="http://schemas.openxmlformats.org/spreadsheetml/2006/main">
  <x:sheetFormatPr defaultRowHeight="15"/>
  <x:cols>
    <x:col min="1" max="1" width="22" hidden="0" customWidth="1"/>
    <x:col min="2" max="2" width="12" hidden="0" customWidth="1"/>
    <x:col min="3" max="3" width="3" hidden="0" customWidth="1"/>
    <x:col min="4" max="4" width="20" hidden="0" customWidth="1"/>
    <x:col min="5" max="5" width="12" hidden="0" customWidth="1"/>
    <x:col min="6" max="6" width="12" hidden="0" customWidth="1"/>
    <x:col min="7" max="7" width="12" hidden="0" customWidth="1"/>
  </x:cols>
  <x:sheetData>
    <x:row r="1" ht="28" customHeight="1">
      <x:c r="A1" s="5" t="str">
        <x:v>Close Status Summary</x:v>
      </x:c>
    </x:row>
    <x:row r="2" ht="24" customHeight="1">
      <x:c r="A2" s="13" t="str">
        <x:v>Live summary from the Close_Checklist sheet.</x:v>
      </x:c>
    </x:row>
    <x:row r="4" ht="24" customHeight="1">
      <x:c r="A4" s="22" t="str">
        <x:v>Metric</x:v>
      </x:c>
      <x:c r="B4" s="22" t="str">
        <x:v>Count</x:v>
      </x:c>
      <x:c r="D4" s="22" t="str">
        <x:v>Area</x:v>
      </x:c>
      <x:c r="E4" s="22" t="str">
        <x:v>Total Tasks</x:v>
      </x:c>
      <x:c r="F4" s="22" t="str">
        <x:v>Complete</x:v>
      </x:c>
      <x:c r="G4" s="22" t="str">
        <x:v>Blocked</x:v>
      </x:c>
    </x:row>
    <x:row r="5">
      <x:c r="A5" s="29" t="str">
        <x:v>Total Tasks</x:v>
      </x:c>
      <x:c r="B5" s="40" t="n">
        <x:f>COUNTA(Close_Checklist!A5:A34)</x:f>
        <x:v>30</x:v>
      </x:c>
      <x:c r="D5" t="str">
        <x:v>Banking</x:v>
      </x:c>
      <x:c r="E5" t="n">
        <x:f>COUNTIF(Close_Checklist!$C$5:$C$34,D5)</x:f>
        <x:v>3</x:v>
      </x:c>
      <x:c r="F5" t="n">
        <x:f>COUNTIFS(Close_Checklist!$C$5:$C$34,D5,Close_Checklist!$G$5:$G$34,"Complete")</x:f>
        <x:v>0</x:v>
      </x:c>
      <x:c r="G5" t="n">
        <x:f>COUNTIFS(Close_Checklist!$C$5:$C$34,D5,Close_Checklist!$G$5:$G$34,"Blocked")</x:f>
        <x:v>0</x:v>
      </x:c>
    </x:row>
    <x:row r="6">
      <x:c r="A6" s="29" t="str">
        <x:v>Complete</x:v>
      </x:c>
      <x:c r="B6" s="40" t="n">
        <x:f>COUNTIF(Close_Checklist!G5:G34,"Complete")</x:f>
        <x:v>0</x:v>
      </x:c>
      <x:c r="D6" t="str">
        <x:v>AR</x:v>
      </x:c>
      <x:c r="E6" t="n">
        <x:f>COUNTIF(Close_Checklist!$C$5:$C$34,D6)</x:f>
        <x:v>3</x:v>
      </x:c>
      <x:c r="F6" t="n">
        <x:f>COUNTIFS(Close_Checklist!$C$5:$C$34,D6,Close_Checklist!$G$5:$G$34,"Complete")</x:f>
        <x:v>0</x:v>
      </x:c>
      <x:c r="G6" t="n">
        <x:f>COUNTIFS(Close_Checklist!$C$5:$C$34,D6,Close_Checklist!$G$5:$G$34,"Blocked")</x:f>
        <x:v>0</x:v>
      </x:c>
    </x:row>
    <x:row r="7">
      <x:c r="A7" s="29" t="str">
        <x:v>In Progress</x:v>
      </x:c>
      <x:c r="B7" s="40" t="n">
        <x:f>COUNTIF(Close_Checklist!G5:G34,"In Progress")</x:f>
        <x:v>0</x:v>
      </x:c>
      <x:c r="D7" t="str">
        <x:v>AP</x:v>
      </x:c>
      <x:c r="E7" t="n">
        <x:f>COUNTIF(Close_Checklist!$C$5:$C$34,D7)</x:f>
        <x:v>3</x:v>
      </x:c>
      <x:c r="F7" t="n">
        <x:f>COUNTIFS(Close_Checklist!$C$5:$C$34,D7,Close_Checklist!$G$5:$G$34,"Complete")</x:f>
        <x:v>0</x:v>
      </x:c>
      <x:c r="G7" t="n">
        <x:f>COUNTIFS(Close_Checklist!$C$5:$C$34,D7,Close_Checklist!$G$5:$G$34,"Blocked")</x:f>
        <x:v>0</x:v>
      </x:c>
    </x:row>
    <x:row r="8">
      <x:c r="A8" s="29" t="str">
        <x:v>Not Started</x:v>
      </x:c>
      <x:c r="B8" s="40" t="n">
        <x:f>COUNTIF(Close_Checklist!G5:G34,"Not Started")</x:f>
        <x:v>30</x:v>
      </x:c>
      <x:c r="D8" t="str">
        <x:v>Inventory</x:v>
      </x:c>
      <x:c r="E8" t="n">
        <x:f>COUNTIF(Close_Checklist!$C$5:$C$34,D8)</x:f>
        <x:v>2</x:v>
      </x:c>
      <x:c r="F8" t="n">
        <x:f>COUNTIFS(Close_Checklist!$C$5:$C$34,D8,Close_Checklist!$G$5:$G$34,"Complete")</x:f>
        <x:v>0</x:v>
      </x:c>
      <x:c r="G8" t="n">
        <x:f>COUNTIFS(Close_Checklist!$C$5:$C$34,D8,Close_Checklist!$G$5:$G$34,"Blocked")</x:f>
        <x:v>0</x:v>
      </x:c>
    </x:row>
    <x:row r="9">
      <x:c r="A9" s="29" t="str">
        <x:v>Blocked</x:v>
      </x:c>
      <x:c r="B9" s="40" t="n">
        <x:f>COUNTIF(Close_Checklist!G5:G34,"Blocked")</x:f>
        <x:v>0</x:v>
      </x:c>
      <x:c r="D9" t="str">
        <x:v>Payroll</x:v>
      </x:c>
      <x:c r="E9" t="n">
        <x:f>COUNTIF(Close_Checklist!$C$5:$C$34,D9)</x:f>
        <x:v>3</x:v>
      </x:c>
      <x:c r="F9" t="n">
        <x:f>COUNTIFS(Close_Checklist!$C$5:$C$34,D9,Close_Checklist!$G$5:$G$34,"Complete")</x:f>
        <x:v>0</x:v>
      </x:c>
      <x:c r="G9" t="n">
        <x:f>COUNTIFS(Close_Checklist!$C$5:$C$34,D9,Close_Checklist!$G$5:$G$34,"Blocked")</x:f>
        <x:v>0</x:v>
      </x:c>
    </x:row>
    <x:row r="10">
      <x:c r="A10" s="29" t="str">
        <x:v>Overdue Open Tasks</x:v>
      </x:c>
      <x:c r="B10" s="40" t="n">
        <x:f>COUNTIFS(Close_Checklist!G5:G34,"&lt;&gt;Complete",Close_Checklist!H5:H34,"&gt;0")</x:f>
        <x:v>5</x:v>
      </x:c>
      <x:c r="D10" t="str">
        <x:v>Fixed Assets</x:v>
      </x:c>
      <x:c r="E10" t="n">
        <x:f>COUNTIF(Close_Checklist!$C$5:$C$34,D10)</x:f>
        <x:v>2</x:v>
      </x:c>
      <x:c r="F10" t="n">
        <x:f>COUNTIFS(Close_Checklist!$C$5:$C$34,D10,Close_Checklist!$G$5:$G$34,"Complete")</x:f>
        <x:v>0</x:v>
      </x:c>
      <x:c r="G10" t="n">
        <x:f>COUNTIFS(Close_Checklist!$C$5:$C$34,D10,Close_Checklist!$G$5:$G$34,"Blocked")</x:f>
        <x:v>0</x:v>
      </x:c>
    </x:row>
    <x:row r="11">
      <x:c r="D11" t="str">
        <x:v>Accruals</x:v>
      </x:c>
      <x:c r="E11" t="n">
        <x:f>COUNTIF(Close_Checklist!$C$5:$C$34,D11)</x:f>
        <x:v>1</x:v>
      </x:c>
      <x:c r="F11" t="n">
        <x:f>COUNTIFS(Close_Checklist!$C$5:$C$34,D11,Close_Checklist!$G$5:$G$34,"Complete")</x:f>
        <x:v>0</x:v>
      </x:c>
      <x:c r="G11" t="n">
        <x:f>COUNTIFS(Close_Checklist!$C$5:$C$34,D11,Close_Checklist!$G$5:$G$34,"Blocked")</x:f>
        <x:v>0</x:v>
      </x:c>
    </x:row>
    <x:row r="12">
      <x:c r="D12" t="str">
        <x:v>Prepaids</x:v>
      </x:c>
      <x:c r="E12" t="n">
        <x:f>COUNTIF(Close_Checklist!$C$5:$C$34,D12)</x:f>
        <x:v>1</x:v>
      </x:c>
      <x:c r="F12" t="n">
        <x:f>COUNTIFS(Close_Checklist!$C$5:$C$34,D12,Close_Checklist!$G$5:$G$34,"Complete")</x:f>
        <x:v>0</x:v>
      </x:c>
      <x:c r="G12" t="n">
        <x:f>COUNTIFS(Close_Checklist!$C$5:$C$34,D12,Close_Checklist!$G$5:$G$34,"Blocked")</x:f>
        <x:v>0</x:v>
      </x:c>
    </x:row>
    <x:row r="13">
      <x:c r="D13" t="str">
        <x:v>Debt</x:v>
      </x:c>
      <x:c r="E13" t="n">
        <x:f>COUNTIF(Close_Checklist!$C$5:$C$34,D13)</x:f>
        <x:v>1</x:v>
      </x:c>
      <x:c r="F13" t="n">
        <x:f>COUNTIFS(Close_Checklist!$C$5:$C$34,D13,Close_Checklist!$G$5:$G$34,"Complete")</x:f>
        <x:v>0</x:v>
      </x:c>
      <x:c r="G13" t="n">
        <x:f>COUNTIFS(Close_Checklist!$C$5:$C$34,D13,Close_Checklist!$G$5:$G$34,"Blocked")</x:f>
        <x:v>0</x:v>
      </x:c>
    </x:row>
    <x:row r="14">
      <x:c r="D14" t="str">
        <x:v>Taxes</x:v>
      </x:c>
      <x:c r="E14" t="n">
        <x:f>COUNTIF(Close_Checklist!$C$5:$C$34,D14)</x:f>
        <x:v>1</x:v>
      </x:c>
      <x:c r="F14" t="n">
        <x:f>COUNTIFS(Close_Checklist!$C$5:$C$34,D14,Close_Checklist!$G$5:$G$34,"Complete")</x:f>
        <x:v>0</x:v>
      </x:c>
      <x:c r="G14" t="n">
        <x:f>COUNTIFS(Close_Checklist!$C$5:$C$34,D14,Close_Checklist!$G$5:$G$34,"Blocked")</x:f>
        <x:v>0</x:v>
      </x:c>
    </x:row>
    <x:row r="15">
      <x:c r="D15" t="str">
        <x:v>GL Review</x:v>
      </x:c>
      <x:c r="E15" t="n">
        <x:f>COUNTIF(Close_Checklist!$C$5:$C$34,D15)</x:f>
        <x:v>1</x:v>
      </x:c>
      <x:c r="F15" t="n">
        <x:f>COUNTIFS(Close_Checklist!$C$5:$C$34,D15,Close_Checklist!$G$5:$G$34,"Complete")</x:f>
        <x:v>0</x:v>
      </x:c>
      <x:c r="G15" t="n">
        <x:f>COUNTIFS(Close_Checklist!$C$5:$C$34,D15,Close_Checklist!$G$5:$G$34,"Blocked")</x:f>
        <x:v>0</x:v>
      </x:c>
    </x:row>
    <x:row r="16">
      <x:c r="D16" t="str">
        <x:v>Reconciliation</x:v>
      </x:c>
      <x:c r="E16" t="n">
        <x:f>COUNTIF(Close_Checklist!$C$5:$C$34,D16)</x:f>
        <x:v>3</x:v>
      </x:c>
      <x:c r="F16" t="n">
        <x:f>COUNTIFS(Close_Checklist!$C$5:$C$34,D16,Close_Checklist!$G$5:$G$34,"Complete")</x:f>
        <x:v>0</x:v>
      </x:c>
      <x:c r="G16" t="n">
        <x:f>COUNTIFS(Close_Checklist!$C$5:$C$34,D16,Close_Checklist!$G$5:$G$34,"Blocked")</x:f>
        <x:v>0</x:v>
      </x:c>
    </x:row>
    <x:row r="17">
      <x:c r="D17" t="str">
        <x:v>Reporting</x:v>
      </x:c>
      <x:c r="E17" t="n">
        <x:f>COUNTIF(Close_Checklist!$C$5:$C$34,D17)</x:f>
        <x:v>4</x:v>
      </x:c>
      <x:c r="F17" t="n">
        <x:f>COUNTIFS(Close_Checklist!$C$5:$C$34,D17,Close_Checklist!$G$5:$G$34,"Complete")</x:f>
        <x:v>0</x:v>
      </x:c>
      <x:c r="G17" t="n">
        <x:f>COUNTIFS(Close_Checklist!$C$5:$C$34,D17,Close_Checklist!$G$5:$G$34,"Blocked")</x:f>
        <x:v>0</x:v>
      </x:c>
    </x:row>
    <x:row r="18">
      <x:c r="D18" t="str">
        <x:v>Review</x:v>
      </x:c>
      <x:c r="E18" t="n">
        <x:f>COUNTIF(Close_Checklist!$C$5:$C$34,D18)</x:f>
        <x:v>1</x:v>
      </x:c>
      <x:c r="F18" t="n">
        <x:f>COUNTIFS(Close_Checklist!$C$5:$C$34,D18,Close_Checklist!$G$5:$G$34,"Complete")</x:f>
        <x:v>0</x:v>
      </x:c>
      <x:c r="G18" t="n">
        <x:f>COUNTIFS(Close_Checklist!$C$5:$C$34,D18,Close_Checklist!$G$5:$G$34,"Blocked")</x:f>
        <x:v>0</x:v>
      </x:c>
    </x:row>
    <x:row r="19">
      <x:c r="D19" t="str">
        <x:v>Archive</x:v>
      </x:c>
      <x:c r="E19" t="n">
        <x:f>COUNTIF(Close_Checklist!$C$5:$C$34,D19)</x:f>
        <x:v>1</x:v>
      </x:c>
      <x:c r="F19" t="n">
        <x:f>COUNTIFS(Close_Checklist!$C$5:$C$34,D19,Close_Checklist!$G$5:$G$34,"Complete")</x:f>
        <x:v>0</x:v>
      </x:c>
      <x:c r="G19" t="n">
        <x:f>COUNTIFS(Close_Checklist!$C$5:$C$34,D19,Close_Checklist!$G$5:$G$34,"Blocked")</x:f>
        <x:v>0</x:v>
      </x:c>
    </x:row>
  </x:sheetData>
  <x:mergeCells>
    <x:mergeCell ref="A1:H1"/>
    <x:mergeCell ref="A2:H2"/>
  </x:mergeCells>
  <x:pageMargins left="0.7" right="0.7" top="0.75" bottom="0.75" header="0.3" footer="0.3"/>
  <x:drawing xmlns:r="http://schemas.openxmlformats.org/officeDocument/2006/relationships" r:id="R5e317e652b2b4920"/>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FFCDA72B33F704B902DF05EFF11A127" ma:contentTypeVersion="12" ma:contentTypeDescription="Create a new document." ma:contentTypeScope="" ma:versionID="c6f9a1a39b749c0b35fc296ed518e8f3">
  <xsd:schema xmlns:xsd="http://www.w3.org/2001/XMLSchema" xmlns:xs="http://www.w3.org/2001/XMLSchema" xmlns:p="http://schemas.microsoft.com/office/2006/metadata/properties" xmlns:ns2="7019b7ea-2583-48d5-9dd7-5b4a847e7ee9" xmlns:ns3="27445e43-ccdd-4da6-b549-fdecb12a794f" targetNamespace="http://schemas.microsoft.com/office/2006/metadata/properties" ma:root="true" ma:fieldsID="45a2daf967dbe5b730172693d155efad" ns2:_="" ns3:_="">
    <xsd:import namespace="7019b7ea-2583-48d5-9dd7-5b4a847e7ee9"/>
    <xsd:import namespace="27445e43-ccdd-4da6-b549-fdecb12a794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019b7ea-2583-48d5-9dd7-5b4a847e7e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20f1de3d-d31a-4396-82d5-79995a55124e"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7445e43-ccdd-4da6-b549-fdecb12a794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ef456272-03e4-4335-84cf-9ee0017832c0}" ma:internalName="TaxCatchAll" ma:showField="CatchAllData" ma:web="27445e43-ccdd-4da6-b549-fdecb12a79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019b7ea-2583-48d5-9dd7-5b4a847e7ee9">
      <Terms xmlns="http://schemas.microsoft.com/office/infopath/2007/PartnerControls"/>
    </lcf76f155ced4ddcb4097134ff3c332f>
    <TaxCatchAll xmlns="27445e43-ccdd-4da6-b549-fdecb12a794f" xsi:nil="true"/>
  </documentManagement>
</p:properties>
</file>

<file path=customXml/itemProps1.xml><?xml version="1.0" encoding="utf-8"?>
<ds:datastoreItem xmlns:ds="http://schemas.openxmlformats.org/officeDocument/2006/customXml" ds:itemID="{DBA60207-72A7-4DD5-B0B9-1D267A5EABFC}"/>
</file>

<file path=customXml/itemProps2.xml><?xml version="1.0" encoding="utf-8"?>
<ds:datastoreItem xmlns:ds="http://schemas.openxmlformats.org/officeDocument/2006/customXml" ds:itemID="{B335B3AA-5FFB-486A-A5AA-3E97DD96FBA0}"/>
</file>

<file path=customXml/itemProps3.xml><?xml version="1.0" encoding="utf-8"?>
<ds:datastoreItem xmlns:ds="http://schemas.openxmlformats.org/officeDocument/2006/customXml" ds:itemID="{0D04A8DE-36DF-4D11-8DA9-E98583D89ACA}"/>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0x0101007FFCDA72B33F704B902DF05EFF11A127</vt:lpwstr>
  </property>
</Properties>
</file>