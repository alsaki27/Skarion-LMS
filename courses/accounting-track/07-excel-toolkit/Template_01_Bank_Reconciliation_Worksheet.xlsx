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ank_Import" sheetId="2" state="visible" r:id="rId2"/>
    <sheet xmlns:r="http://schemas.openxmlformats.org/officeDocument/2006/relationships" name="GL_Import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ifference_Log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;-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F4E78"/>
      <sz val="11"/>
    </font>
    <font>
      <name val="Carlito"/>
      <b val="1"/>
      <color rgb="FFFFFFFF"/>
      <sz val="11"/>
    </font>
    <font>
      <name val="Carlito"/>
      <b val="1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/>
    <border/>
  </borders>
  <cellStyleXfs count="1">
    <xf numFmtId="0" fontId="0" fillId="0" borderId="1"/>
  </cellStyleXfs>
  <cellXfs count="7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top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0" fontId="0" fillId="6" borderId="0" pivotButton="0" quotePrefix="0" xfId="0"/>
    <xf numFmtId="0" fontId="4" fillId="6" borderId="0" pivotButton="0" quotePrefix="0" xfId="0"/>
    <xf numFmtId="0" fontId="4" fillId="6" borderId="1" applyAlignment="1" pivotButton="0" quotePrefix="0" xfId="0">
      <alignment wrapText="1"/>
    </xf>
    <xf numFmtId="0" fontId="0" fillId="6" borderId="1" pivotButton="0" quotePrefix="0" xfId="0"/>
    <xf numFmtId="0" fontId="4" fillId="6" borderId="1" pivotButton="0" quotePrefix="0" xfId="0"/>
    <xf numFmtId="0" fontId="4" fillId="7" borderId="0" applyAlignment="1" pivotButton="0" quotePrefix="0" xfId="0">
      <alignment wrapText="1"/>
    </xf>
    <xf numFmtId="0" fontId="0" fillId="7" borderId="0" pivotButton="0" quotePrefix="0" xfId="0"/>
    <xf numFmtId="0" fontId="4" fillId="7" borderId="0" pivotButton="0" quotePrefix="0" xfId="0"/>
    <xf numFmtId="0" fontId="4" fillId="7" borderId="1" applyAlignment="1" pivotButton="0" quotePrefix="0" xfId="0">
      <alignment wrapText="1"/>
    </xf>
    <xf numFmtId="0" fontId="0" fillId="7" borderId="1" pivotButton="0" quotePrefix="0" xfId="0"/>
    <xf numFmtId="0" fontId="4" fillId="7" borderId="1" pivotButton="0" quotePrefix="0" xfId="0"/>
    <xf numFmtId="165" fontId="4" fillId="6" borderId="0" pivotButton="0" quotePrefix="0" xfId="0"/>
    <xf numFmtId="165" fontId="4" fillId="7" borderId="0" pivotButton="0" quotePrefix="0" xfId="0"/>
    <xf numFmtId="165" fontId="4" fillId="6" borderId="1" pivotButton="0" quotePrefix="0" xfId="0"/>
    <xf numFmtId="165" fontId="4" fillId="7" borderId="1" pivotButton="0" quotePrefix="0" xfId="0"/>
    <xf numFmtId="165" fontId="4" fillId="6" borderId="0" applyAlignment="1" pivotButton="0" quotePrefix="0" xfId="0">
      <alignment wrapText="1"/>
    </xf>
    <xf numFmtId="165" fontId="4" fillId="7" borderId="0" applyAlignment="1" pivotButton="0" quotePrefix="0" xfId="0">
      <alignment wrapText="1"/>
    </xf>
    <xf numFmtId="165" fontId="4" fillId="6" borderId="1" applyAlignment="1" pivotButton="0" quotePrefix="0" xfId="0">
      <alignment wrapText="1"/>
    </xf>
    <xf numFmtId="165" fontId="4" fillId="7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4" fillId="6" borderId="0" applyAlignment="1" pivotButton="0" quotePrefix="0" xfId="0">
      <alignment wrapText="1"/>
    </xf>
    <xf numFmtId="165" fontId="0" fillId="0" borderId="1" pivotButton="0" quotePrefix="0" xfId="0"/>
    <xf numFmtId="165" fontId="4" fillId="7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7"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ankImportTable" displayName="BankImportTable" ref="A4:J36" headerRowCount="1">
  <tableColumns count="10">
    <tableColumn id="1" name="Date"/>
    <tableColumn id="2" name="Bank Ref"/>
    <tableColumn id="3" name="Description"/>
    <tableColumn id="4" name="Deposit"/>
    <tableColumn id="5" name="Withdrawal"/>
    <tableColumn id="6" name="Amount"/>
    <tableColumn id="7" name="Match Key"/>
    <tableColumn id="8" name="GL Match Count"/>
    <tableColumn id="9" name="Status"/>
    <tableColumn id="10" name="Student Notes"/>
  </tableColumns>
  <tableStyleInfo name="TableStyleMedium2" showRowStripes="1"/>
</table>
</file>

<file path=xl/tables/table2.xml><?xml version="1.0" encoding="utf-8"?>
<table xmlns="http://schemas.openxmlformats.org/spreadsheetml/2006/main" id="2" name="GLImportTable" displayName="GLImportTable" ref="A4:J37" headerRowCount="1">
  <tableColumns count="10">
    <tableColumn id="1" name="Date"/>
    <tableColumn id="2" name="GL Ref"/>
    <tableColumn id="3" name="Description"/>
    <tableColumn id="4" name="Receipt"/>
    <tableColumn id="5" name="Payment"/>
    <tableColumn id="6" name="Amount"/>
    <tableColumn id="7" name="Match Key"/>
    <tableColumn id="8" name="Bank Match Count"/>
    <tableColumn id="9" name="Status"/>
    <tableColumn id="10" name="Student Notes"/>
  </tableColumns>
  <tableStyleInfo name="TableStyleMedium2" showRowStripes="1"/>
</table>
</file>

<file path=xl/tables/table3.xml><?xml version="1.0" encoding="utf-8"?>
<table xmlns="http://schemas.openxmlformats.org/spreadsheetml/2006/main" id="3" name="DifferenceLogTable" displayName="DifferenceLogTable" ref="A4:G19" headerRowCount="1">
  <tableColumns count="7">
    <tableColumn id="1" name="Item #"/>
    <tableColumn id="2" name="Source"/>
    <tableColumn id="3" name="Date"/>
    <tableColumn id="4" name="Reference"/>
    <tableColumn id="5" name="Issue Type"/>
    <tableColumn id="6" name="Amount"/>
    <tableColumn id="7" name="Proposed Correc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9" t="inlineStr">
        <is>
          <t>Bank Reconciliation Worksheet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7" t="inlineStr">
        <is>
          <t>Template for matching bank statement activity to the cash general ledger and documenting reconciling items.</t>
        </is>
      </c>
      <c r="B2" s="1" t="n"/>
      <c r="C2" s="1" t="n"/>
      <c r="D2" s="1" t="n"/>
      <c r="E2" s="1" t="n"/>
      <c r="F2" s="1" t="n"/>
      <c r="G2" s="1" t="n"/>
    </row>
    <row r="4" ht="24" customHeight="1">
      <c r="A4" s="22" t="inlineStr">
        <is>
          <t>Section</t>
        </is>
      </c>
      <c r="B4" s="22" t="inlineStr">
        <is>
          <t>Details</t>
        </is>
      </c>
    </row>
    <row r="5">
      <c r="A5" s="30" t="inlineStr">
        <is>
          <t>Purpose</t>
        </is>
      </c>
      <c r="B5" s="35" t="inlineStr">
        <is>
          <t>Template for matching bank statement activity to the cash general ledger and documenting reconciling items.</t>
        </is>
      </c>
    </row>
    <row r="6">
      <c r="A6" s="30" t="inlineStr">
        <is>
          <t>How to Use</t>
        </is>
      </c>
      <c r="B6" s="35" t="inlineStr">
        <is>
          <t>1. Paste or type bank statement transactions into the Bank_Import sheet.
2. Paste or type cash GL transactions into the GL_Import sheet.
3. Use the Status column to identify matched, unmatched, and possible duplicate transactions.
4. Complete the Reconciliation sheet and explain each difference in the Difference_Log.
5. The goal is for Adjusted Bank Balance and Adjusted Book Balance to agree.</t>
        </is>
      </c>
    </row>
    <row r="7">
      <c r="A7" s="30" t="inlineStr">
        <is>
          <t>Expected Output</t>
        </is>
      </c>
      <c r="B7" s="35" t="inlineStr">
        <is>
          <t>• Matched transaction list
• Deposits in transit
• Outstanding checks/payments
• Bank fees or interest missing from books
• Final reconciliation difference</t>
        </is>
      </c>
    </row>
    <row r="8">
      <c r="A8" s="30" t="inlineStr">
        <is>
          <t>Student Rule</t>
        </is>
      </c>
      <c r="B8" s="35" t="inlineStr">
        <is>
          <t>Use the sample data first. Then replace the sample rows with your assigned company data. Do not overwrite formula cells unless your instructor tells you to.</t>
        </is>
      </c>
    </row>
    <row r="9">
      <c r="A9" s="30" t="inlineStr">
        <is>
          <t>Skarion Simulation</t>
        </is>
      </c>
      <c r="B9" s="35" t="inlineStr">
        <is>
          <t>These templates support the Skarion Manufacturing LLC accounting job simulation and can be used as student handouts.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8" customWidth="1" min="9" max="9"/>
    <col width="32" customWidth="1" min="10" max="10"/>
  </cols>
  <sheetData>
    <row r="1" ht="28" customHeight="1">
      <c r="A1" s="9" t="inlineStr">
        <is>
          <t>Bank Import / Statement Transactions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7" t="inlineStr">
        <is>
          <t>Sample data can be replaced with actual bank statement exports.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24" customHeight="1">
      <c r="A4" s="22" t="inlineStr">
        <is>
          <t>Date</t>
        </is>
      </c>
      <c r="B4" s="22" t="inlineStr">
        <is>
          <t>Bank Ref</t>
        </is>
      </c>
      <c r="C4" s="22" t="inlineStr">
        <is>
          <t>Description</t>
        </is>
      </c>
      <c r="D4" s="22" t="inlineStr">
        <is>
          <t>Deposit</t>
        </is>
      </c>
      <c r="E4" s="22" t="inlineStr">
        <is>
          <t>Withdrawal</t>
        </is>
      </c>
      <c r="F4" s="22" t="inlineStr">
        <is>
          <t>Amount</t>
        </is>
      </c>
      <c r="G4" s="22" t="inlineStr">
        <is>
          <t>Match Key</t>
        </is>
      </c>
      <c r="H4" s="22" t="inlineStr">
        <is>
          <t>GL Match Count</t>
        </is>
      </c>
      <c r="I4" s="22" t="inlineStr">
        <is>
          <t>Status</t>
        </is>
      </c>
      <c r="J4" s="22" t="inlineStr">
        <is>
          <t>Student Notes</t>
        </is>
      </c>
    </row>
    <row r="5">
      <c r="A5" s="68" t="n">
        <v>46024</v>
      </c>
      <c r="B5" s="34" t="inlineStr">
        <is>
          <t>ACH-DEP-1001</t>
        </is>
      </c>
      <c r="C5" s="34" t="inlineStr">
        <is>
          <t>Customer ACH Deposit - Blue Ridge Retail</t>
        </is>
      </c>
      <c r="D5" s="69" t="n">
        <v>4200</v>
      </c>
      <c r="E5" s="69" t="n">
        <v>0</v>
      </c>
      <c r="F5" s="69">
        <f>D5-E5</f>
        <v/>
      </c>
      <c r="G5" s="34">
        <f>TEXT(A5,"yyyymmdd")&amp;"|"&amp;TEXT(ROUND(ABS(F5),2),"0.00")</f>
        <v/>
      </c>
      <c r="H5" s="34">
        <f>COUNTIFS(GL_Import!$G$5:$G$45,G5)</f>
        <v/>
      </c>
      <c r="I5" s="34">
        <f>IF(H5=0,"Unmatched",IF(H5&gt;1,"Possible Duplicate","Matched"))</f>
        <v/>
      </c>
      <c r="J5" s="34" t="str"/>
    </row>
    <row r="6">
      <c r="A6" s="68" t="n">
        <v>46025</v>
      </c>
      <c r="B6" s="34" t="inlineStr">
        <is>
          <t>CHK-2201</t>
        </is>
      </c>
      <c r="C6" s="34" t="inlineStr">
        <is>
          <t>Cleared Check - Dominion Materials</t>
        </is>
      </c>
      <c r="D6" s="69" t="n">
        <v>0</v>
      </c>
      <c r="E6" s="69" t="n">
        <v>3150</v>
      </c>
      <c r="F6" s="69">
        <f>D6-E6</f>
        <v/>
      </c>
      <c r="G6" s="34">
        <f>TEXT(A6,"yyyymmdd")&amp;"|"&amp;TEXT(ROUND(ABS(F6),2),"0.00")</f>
        <v/>
      </c>
      <c r="H6" s="34">
        <f>COUNTIFS(GL_Import!$G$5:$G$45,G6)</f>
        <v/>
      </c>
      <c r="I6" s="34">
        <f>IF(H6=0,"Unmatched",IF(H6&gt;1,"Possible Duplicate","Matched"))</f>
        <v/>
      </c>
      <c r="J6" s="34" t="str"/>
    </row>
    <row r="7">
      <c r="A7" s="68" t="n">
        <v>46026</v>
      </c>
      <c r="B7" s="34" t="inlineStr">
        <is>
          <t>ACH-UTIL</t>
        </is>
      </c>
      <c r="C7" s="34" t="inlineStr">
        <is>
          <t>ACH Debit - Dominion Energy</t>
        </is>
      </c>
      <c r="D7" s="69" t="n">
        <v>0</v>
      </c>
      <c r="E7" s="69" t="n">
        <v>1280.75</v>
      </c>
      <c r="F7" s="69">
        <f>D7-E7</f>
        <v/>
      </c>
      <c r="G7" s="34">
        <f>TEXT(A7,"yyyymmdd")&amp;"|"&amp;TEXT(ROUND(ABS(F7),2),"0.00")</f>
        <v/>
      </c>
      <c r="H7" s="34">
        <f>COUNTIFS(GL_Import!$G$5:$G$45,G7)</f>
        <v/>
      </c>
      <c r="I7" s="34">
        <f>IF(H7=0,"Unmatched",IF(H7&gt;1,"Possible Duplicate","Matched"))</f>
        <v/>
      </c>
      <c r="J7" s="34" t="str"/>
    </row>
    <row r="8">
      <c r="A8" s="68" t="n">
        <v>46027</v>
      </c>
      <c r="B8" s="34" t="inlineStr">
        <is>
          <t>ACH-DEP-1002</t>
        </is>
      </c>
      <c r="C8" s="34" t="inlineStr">
        <is>
          <t>Customer ACH Deposit - Shenandoah Builders</t>
        </is>
      </c>
      <c r="D8" s="69" t="n">
        <v>5850</v>
      </c>
      <c r="E8" s="69" t="n">
        <v>0</v>
      </c>
      <c r="F8" s="69">
        <f>D8-E8</f>
        <v/>
      </c>
      <c r="G8" s="34">
        <f>TEXT(A8,"yyyymmdd")&amp;"|"&amp;TEXT(ROUND(ABS(F8),2),"0.00")</f>
        <v/>
      </c>
      <c r="H8" s="34">
        <f>COUNTIFS(GL_Import!$G$5:$G$45,G8)</f>
        <v/>
      </c>
      <c r="I8" s="34">
        <f>IF(H8=0,"Unmatched",IF(H8&gt;1,"Possible Duplicate","Matched"))</f>
        <v/>
      </c>
      <c r="J8" s="34" t="str"/>
    </row>
    <row r="9">
      <c r="A9" s="68" t="n">
        <v>46028</v>
      </c>
      <c r="B9" s="34" t="inlineStr">
        <is>
          <t>WIRE-7001</t>
        </is>
      </c>
      <c r="C9" s="34" t="inlineStr">
        <is>
          <t>Wire Payment - Atlantic Steel</t>
        </is>
      </c>
      <c r="D9" s="69" t="n">
        <v>0</v>
      </c>
      <c r="E9" s="69" t="n">
        <v>8425.5</v>
      </c>
      <c r="F9" s="69">
        <f>D9-E9</f>
        <v/>
      </c>
      <c r="G9" s="34">
        <f>TEXT(A9,"yyyymmdd")&amp;"|"&amp;TEXT(ROUND(ABS(F9),2),"0.00")</f>
        <v/>
      </c>
      <c r="H9" s="34">
        <f>COUNTIFS(GL_Import!$G$5:$G$45,G9)</f>
        <v/>
      </c>
      <c r="I9" s="34">
        <f>IF(H9=0,"Unmatched",IF(H9&gt;1,"Possible Duplicate","Matched"))</f>
        <v/>
      </c>
      <c r="J9" s="34" t="str"/>
    </row>
    <row r="10">
      <c r="A10" s="68" t="n">
        <v>46029</v>
      </c>
      <c r="B10" s="34" t="inlineStr">
        <is>
          <t>ACH-DEP-1003</t>
        </is>
      </c>
      <c r="C10" s="34" t="inlineStr">
        <is>
          <t>Customer ACH Deposit - Cardinal HVAC</t>
        </is>
      </c>
      <c r="D10" s="69" t="n">
        <v>3725</v>
      </c>
      <c r="E10" s="69" t="n">
        <v>0</v>
      </c>
      <c r="F10" s="69">
        <f>D10-E10</f>
        <v/>
      </c>
      <c r="G10" s="34">
        <f>TEXT(A10,"yyyymmdd")&amp;"|"&amp;TEXT(ROUND(ABS(F10),2),"0.00")</f>
        <v/>
      </c>
      <c r="H10" s="34">
        <f>COUNTIFS(GL_Import!$G$5:$G$45,G10)</f>
        <v/>
      </c>
      <c r="I10" s="34">
        <f>IF(H10=0,"Unmatched",IF(H10&gt;1,"Possible Duplicate","Matched"))</f>
        <v/>
      </c>
      <c r="J10" s="34" t="str"/>
    </row>
    <row r="11">
      <c r="A11" s="68" t="n">
        <v>46030</v>
      </c>
      <c r="B11" s="34" t="inlineStr">
        <is>
          <t>CHK-2202</t>
        </is>
      </c>
      <c r="C11" s="34" t="inlineStr">
        <is>
          <t>Cleared Check - Piedmont Packaging</t>
        </is>
      </c>
      <c r="D11" s="69" t="n">
        <v>0</v>
      </c>
      <c r="E11" s="69" t="n">
        <v>2190</v>
      </c>
      <c r="F11" s="69">
        <f>D11-E11</f>
        <v/>
      </c>
      <c r="G11" s="34">
        <f>TEXT(A11,"yyyymmdd")&amp;"|"&amp;TEXT(ROUND(ABS(F11),2),"0.00")</f>
        <v/>
      </c>
      <c r="H11" s="34">
        <f>COUNTIFS(GL_Import!$G$5:$G$45,G11)</f>
        <v/>
      </c>
      <c r="I11" s="34">
        <f>IF(H11=0,"Unmatched",IF(H11&gt;1,"Possible Duplicate","Matched"))</f>
        <v/>
      </c>
      <c r="J11" s="34" t="str"/>
    </row>
    <row r="12">
      <c r="A12" s="68" t="n">
        <v>46030</v>
      </c>
      <c r="B12" s="34" t="inlineStr">
        <is>
          <t>BANK-FEE</t>
        </is>
      </c>
      <c r="C12" s="34" t="inlineStr">
        <is>
          <t>Monthly Bank Service Fee</t>
        </is>
      </c>
      <c r="D12" s="69" t="n">
        <v>0</v>
      </c>
      <c r="E12" s="69" t="n">
        <v>35</v>
      </c>
      <c r="F12" s="69">
        <f>D12-E12</f>
        <v/>
      </c>
      <c r="G12" s="34">
        <f>TEXT(A12,"yyyymmdd")&amp;"|"&amp;TEXT(ROUND(ABS(F12),2),"0.00")</f>
        <v/>
      </c>
      <c r="H12" s="34">
        <f>COUNTIFS(GL_Import!$G$5:$G$45,G12)</f>
        <v/>
      </c>
      <c r="I12" s="34">
        <f>IF(H12=0,"Unmatched",IF(H12&gt;1,"Possible Duplicate","Matched"))</f>
        <v/>
      </c>
      <c r="J12" s="34" t="str"/>
    </row>
    <row r="13">
      <c r="A13" s="68" t="n">
        <v>46031</v>
      </c>
      <c r="B13" s="34" t="inlineStr">
        <is>
          <t>ACH-PAYROLL</t>
        </is>
      </c>
      <c r="C13" s="34" t="inlineStr">
        <is>
          <t>Payroll Direct Deposit</t>
        </is>
      </c>
      <c r="D13" s="69" t="n">
        <v>0</v>
      </c>
      <c r="E13" s="69" t="n">
        <v>26500</v>
      </c>
      <c r="F13" s="69">
        <f>D13-E13</f>
        <v/>
      </c>
      <c r="G13" s="34">
        <f>TEXT(A13,"yyyymmdd")&amp;"|"&amp;TEXT(ROUND(ABS(F13),2),"0.00")</f>
        <v/>
      </c>
      <c r="H13" s="34">
        <f>COUNTIFS(GL_Import!$G$5:$G$45,G13)</f>
        <v/>
      </c>
      <c r="I13" s="34">
        <f>IF(H13=0,"Unmatched",IF(H13&gt;1,"Possible Duplicate","Matched"))</f>
        <v/>
      </c>
      <c r="J13" s="34" t="str"/>
    </row>
    <row r="14">
      <c r="A14" s="68" t="n">
        <v>46032</v>
      </c>
      <c r="B14" s="34" t="inlineStr">
        <is>
          <t>ACH-DEP-1004</t>
        </is>
      </c>
      <c r="C14" s="34" t="inlineStr">
        <is>
          <t>Customer ACH Deposit - Coastal Supply</t>
        </is>
      </c>
      <c r="D14" s="69" t="n">
        <v>6100</v>
      </c>
      <c r="E14" s="69" t="n">
        <v>0</v>
      </c>
      <c r="F14" s="69">
        <f>D14-E14</f>
        <v/>
      </c>
      <c r="G14" s="34">
        <f>TEXT(A14,"yyyymmdd")&amp;"|"&amp;TEXT(ROUND(ABS(F14),2),"0.00")</f>
        <v/>
      </c>
      <c r="H14" s="34">
        <f>COUNTIFS(GL_Import!$G$5:$G$45,G14)</f>
        <v/>
      </c>
      <c r="I14" s="34">
        <f>IF(H14=0,"Unmatched",IF(H14&gt;1,"Possible Duplicate","Matched"))</f>
        <v/>
      </c>
      <c r="J14" s="34" t="str"/>
    </row>
    <row r="15">
      <c r="A15" s="68" t="n">
        <v>46033</v>
      </c>
      <c r="B15" s="34" t="inlineStr">
        <is>
          <t>CHK-2203</t>
        </is>
      </c>
      <c r="C15" s="34" t="inlineStr">
        <is>
          <t>Cleared Check - Virginia Office Supply</t>
        </is>
      </c>
      <c r="D15" s="69" t="n">
        <v>0</v>
      </c>
      <c r="E15" s="69" t="n">
        <v>745.9</v>
      </c>
      <c r="F15" s="69">
        <f>D15-E15</f>
        <v/>
      </c>
      <c r="G15" s="34">
        <f>TEXT(A15,"yyyymmdd")&amp;"|"&amp;TEXT(ROUND(ABS(F15),2),"0.00")</f>
        <v/>
      </c>
      <c r="H15" s="34">
        <f>COUNTIFS(GL_Import!$G$5:$G$45,G15)</f>
        <v/>
      </c>
      <c r="I15" s="34">
        <f>IF(H15=0,"Unmatched",IF(H15&gt;1,"Possible Duplicate","Matched"))</f>
        <v/>
      </c>
      <c r="J15" s="34" t="str"/>
    </row>
    <row r="16">
      <c r="A16" s="68" t="n">
        <v>46034</v>
      </c>
      <c r="B16" s="34" t="inlineStr">
        <is>
          <t>ACH-SUB</t>
        </is>
      </c>
      <c r="C16" s="34" t="inlineStr">
        <is>
          <t>ACH Debit - QuickBooks Payroll</t>
        </is>
      </c>
      <c r="D16" s="69" t="n">
        <v>0</v>
      </c>
      <c r="E16" s="69" t="n">
        <v>348</v>
      </c>
      <c r="F16" s="69">
        <f>D16-E16</f>
        <v/>
      </c>
      <c r="G16" s="34">
        <f>TEXT(A16,"yyyymmdd")&amp;"|"&amp;TEXT(ROUND(ABS(F16),2),"0.00")</f>
        <v/>
      </c>
      <c r="H16" s="34">
        <f>COUNTIFS(GL_Import!$G$5:$G$45,G16)</f>
        <v/>
      </c>
      <c r="I16" s="34">
        <f>IF(H16=0,"Unmatched",IF(H16&gt;1,"Possible Duplicate","Matched"))</f>
        <v/>
      </c>
      <c r="J16" s="34" t="str"/>
    </row>
    <row r="17">
      <c r="A17" s="68" t="n">
        <v>46035</v>
      </c>
      <c r="B17" s="34" t="inlineStr">
        <is>
          <t>ACH-DEP-1005</t>
        </is>
      </c>
      <c r="C17" s="34" t="inlineStr">
        <is>
          <t>Customer ACH Deposit - Metro Equipment</t>
        </is>
      </c>
      <c r="D17" s="69" t="n">
        <v>4900</v>
      </c>
      <c r="E17" s="69" t="n">
        <v>0</v>
      </c>
      <c r="F17" s="69">
        <f>D17-E17</f>
        <v/>
      </c>
      <c r="G17" s="34">
        <f>TEXT(A17,"yyyymmdd")&amp;"|"&amp;TEXT(ROUND(ABS(F17),2),"0.00")</f>
        <v/>
      </c>
      <c r="H17" s="34">
        <f>COUNTIFS(GL_Import!$G$5:$G$45,G17)</f>
        <v/>
      </c>
      <c r="I17" s="34">
        <f>IF(H17=0,"Unmatched",IF(H17&gt;1,"Possible Duplicate","Matched"))</f>
        <v/>
      </c>
      <c r="J17" s="34" t="str"/>
    </row>
    <row r="18">
      <c r="A18" s="68" t="n">
        <v>46036</v>
      </c>
      <c r="B18" s="34" t="inlineStr">
        <is>
          <t>WIRE-7002</t>
        </is>
      </c>
      <c r="C18" s="34" t="inlineStr">
        <is>
          <t>Wire Payment - Capital Machinery Leasing</t>
        </is>
      </c>
      <c r="D18" s="69" t="n">
        <v>0</v>
      </c>
      <c r="E18" s="69" t="n">
        <v>4160</v>
      </c>
      <c r="F18" s="69">
        <f>D18-E18</f>
        <v/>
      </c>
      <c r="G18" s="34">
        <f>TEXT(A18,"yyyymmdd")&amp;"|"&amp;TEXT(ROUND(ABS(F18),2),"0.00")</f>
        <v/>
      </c>
      <c r="H18" s="34">
        <f>COUNTIFS(GL_Import!$G$5:$G$45,G18)</f>
        <v/>
      </c>
      <c r="I18" s="34">
        <f>IF(H18=0,"Unmatched",IF(H18&gt;1,"Possible Duplicate","Matched"))</f>
        <v/>
      </c>
      <c r="J18" s="34" t="str"/>
    </row>
    <row r="19">
      <c r="A19" s="68" t="n">
        <v>46037</v>
      </c>
      <c r="B19" s="34" t="inlineStr">
        <is>
          <t>ACH-RENT</t>
        </is>
      </c>
      <c r="C19" s="34" t="inlineStr">
        <is>
          <t>ACH Debit - Fairfax Industrial Park</t>
        </is>
      </c>
      <c r="D19" s="69" t="n">
        <v>0</v>
      </c>
      <c r="E19" s="69" t="n">
        <v>8750</v>
      </c>
      <c r="F19" s="69">
        <f>D19-E19</f>
        <v/>
      </c>
      <c r="G19" s="34">
        <f>TEXT(A19,"yyyymmdd")&amp;"|"&amp;TEXT(ROUND(ABS(F19),2),"0.00")</f>
        <v/>
      </c>
      <c r="H19" s="34">
        <f>COUNTIFS(GL_Import!$G$5:$G$45,G19)</f>
        <v/>
      </c>
      <c r="I19" s="34">
        <f>IF(H19=0,"Unmatched",IF(H19&gt;1,"Possible Duplicate","Matched"))</f>
        <v/>
      </c>
      <c r="J19" s="34" t="str"/>
    </row>
    <row r="20">
      <c r="A20" s="68" t="n">
        <v>46038</v>
      </c>
      <c r="B20" s="34" t="inlineStr">
        <is>
          <t>ACH-DEP-1006</t>
        </is>
      </c>
      <c r="C20" s="34" t="inlineStr">
        <is>
          <t>Customer ACH Deposit - Old Dominion Components</t>
        </is>
      </c>
      <c r="D20" s="69" t="n">
        <v>7250</v>
      </c>
      <c r="E20" s="69" t="n">
        <v>0</v>
      </c>
      <c r="F20" s="69">
        <f>D20-E20</f>
        <v/>
      </c>
      <c r="G20" s="34">
        <f>TEXT(A20,"yyyymmdd")&amp;"|"&amp;TEXT(ROUND(ABS(F20),2),"0.00")</f>
        <v/>
      </c>
      <c r="H20" s="34">
        <f>COUNTIFS(GL_Import!$G$5:$G$45,G20)</f>
        <v/>
      </c>
      <c r="I20" s="34">
        <f>IF(H20=0,"Unmatched",IF(H20&gt;1,"Possible Duplicate","Matched"))</f>
        <v/>
      </c>
      <c r="J20" s="34" t="str"/>
    </row>
    <row r="21">
      <c r="A21" s="68" t="n">
        <v>46039</v>
      </c>
      <c r="B21" s="34" t="inlineStr">
        <is>
          <t>CHK-2204</t>
        </is>
      </c>
      <c r="C21" s="34" t="inlineStr">
        <is>
          <t>Cleared Check - SafetyFirst Supplies</t>
        </is>
      </c>
      <c r="D21" s="69" t="n">
        <v>0</v>
      </c>
      <c r="E21" s="69" t="n">
        <v>1250</v>
      </c>
      <c r="F21" s="69">
        <f>D21-E21</f>
        <v/>
      </c>
      <c r="G21" s="34">
        <f>TEXT(A21,"yyyymmdd")&amp;"|"&amp;TEXT(ROUND(ABS(F21),2),"0.00")</f>
        <v/>
      </c>
      <c r="H21" s="34">
        <f>COUNTIFS(GL_Import!$G$5:$G$45,G21)</f>
        <v/>
      </c>
      <c r="I21" s="34">
        <f>IF(H21=0,"Unmatched",IF(H21&gt;1,"Possible Duplicate","Matched"))</f>
        <v/>
      </c>
      <c r="J21" s="34" t="str"/>
    </row>
    <row r="22">
      <c r="A22" s="68" t="n">
        <v>46040</v>
      </c>
      <c r="B22" s="34" t="inlineStr">
        <is>
          <t>ACH-INS</t>
        </is>
      </c>
      <c r="C22" s="34" t="inlineStr">
        <is>
          <t>ACH Debit - Insurance Premium</t>
        </is>
      </c>
      <c r="D22" s="69" t="n">
        <v>0</v>
      </c>
      <c r="E22" s="69" t="n">
        <v>1950</v>
      </c>
      <c r="F22" s="69">
        <f>D22-E22</f>
        <v/>
      </c>
      <c r="G22" s="34">
        <f>TEXT(A22,"yyyymmdd")&amp;"|"&amp;TEXT(ROUND(ABS(F22),2),"0.00")</f>
        <v/>
      </c>
      <c r="H22" s="34">
        <f>COUNTIFS(GL_Import!$G$5:$G$45,G22)</f>
        <v/>
      </c>
      <c r="I22" s="34">
        <f>IF(H22=0,"Unmatched",IF(H22&gt;1,"Possible Duplicate","Matched"))</f>
        <v/>
      </c>
      <c r="J22" s="34" t="str"/>
    </row>
    <row r="23">
      <c r="A23" s="68" t="n">
        <v>46041</v>
      </c>
      <c r="B23" s="34" t="inlineStr">
        <is>
          <t>ACH-DEP-1007</t>
        </is>
      </c>
      <c r="C23" s="34" t="inlineStr">
        <is>
          <t>Customer ACH Deposit - Potomac Builders</t>
        </is>
      </c>
      <c r="D23" s="69" t="n">
        <v>3360</v>
      </c>
      <c r="E23" s="69" t="n">
        <v>0</v>
      </c>
      <c r="F23" s="69">
        <f>D23-E23</f>
        <v/>
      </c>
      <c r="G23" s="34">
        <f>TEXT(A23,"yyyymmdd")&amp;"|"&amp;TEXT(ROUND(ABS(F23),2),"0.00")</f>
        <v/>
      </c>
      <c r="H23" s="34">
        <f>COUNTIFS(GL_Import!$G$5:$G$45,G23)</f>
        <v/>
      </c>
      <c r="I23" s="34">
        <f>IF(H23=0,"Unmatched",IF(H23&gt;1,"Possible Duplicate","Matched"))</f>
        <v/>
      </c>
      <c r="J23" s="34" t="str"/>
    </row>
    <row r="24">
      <c r="A24" s="68" t="n">
        <v>46042</v>
      </c>
      <c r="B24" s="34" t="inlineStr">
        <is>
          <t>CHK-2205</t>
        </is>
      </c>
      <c r="C24" s="34" t="inlineStr">
        <is>
          <t>Cleared Check - Ridgeway Freight</t>
        </is>
      </c>
      <c r="D24" s="69" t="n">
        <v>0</v>
      </c>
      <c r="E24" s="69" t="n">
        <v>1885.25</v>
      </c>
      <c r="F24" s="69">
        <f>D24-E24</f>
        <v/>
      </c>
      <c r="G24" s="34">
        <f>TEXT(A24,"yyyymmdd")&amp;"|"&amp;TEXT(ROUND(ABS(F24),2),"0.00")</f>
        <v/>
      </c>
      <c r="H24" s="34">
        <f>COUNTIFS(GL_Import!$G$5:$G$45,G24)</f>
        <v/>
      </c>
      <c r="I24" s="34">
        <f>IF(H24=0,"Unmatched",IF(H24&gt;1,"Possible Duplicate","Matched"))</f>
        <v/>
      </c>
      <c r="J24" s="34" t="str"/>
    </row>
    <row r="25">
      <c r="A25" s="68" t="n">
        <v>46043</v>
      </c>
      <c r="B25" s="34" t="inlineStr">
        <is>
          <t>ACH-DEP-1008</t>
        </is>
      </c>
      <c r="C25" s="34" t="inlineStr">
        <is>
          <t>Customer ACH Deposit - Harbor Fixtures</t>
        </is>
      </c>
      <c r="D25" s="69" t="n">
        <v>5125</v>
      </c>
      <c r="E25" s="69" t="n">
        <v>0</v>
      </c>
      <c r="F25" s="69">
        <f>D25-E25</f>
        <v/>
      </c>
      <c r="G25" s="34">
        <f>TEXT(A25,"yyyymmdd")&amp;"|"&amp;TEXT(ROUND(ABS(F25),2),"0.00")</f>
        <v/>
      </c>
      <c r="H25" s="34">
        <f>COUNTIFS(GL_Import!$G$5:$G$45,G25)</f>
        <v/>
      </c>
      <c r="I25" s="34">
        <f>IF(H25=0,"Unmatched",IF(H25&gt;1,"Possible Duplicate","Matched"))</f>
        <v/>
      </c>
      <c r="J25" s="34" t="str"/>
    </row>
    <row r="26">
      <c r="A26" s="68" t="n">
        <v>46044</v>
      </c>
      <c r="B26" s="34" t="inlineStr">
        <is>
          <t>ACH-LOAN</t>
        </is>
      </c>
      <c r="C26" s="34" t="inlineStr">
        <is>
          <t>Business Loan Payment</t>
        </is>
      </c>
      <c r="D26" s="69" t="n">
        <v>0</v>
      </c>
      <c r="E26" s="69" t="n">
        <v>4895</v>
      </c>
      <c r="F26" s="69">
        <f>D26-E26</f>
        <v/>
      </c>
      <c r="G26" s="34">
        <f>TEXT(A26,"yyyymmdd")&amp;"|"&amp;TEXT(ROUND(ABS(F26),2),"0.00")</f>
        <v/>
      </c>
      <c r="H26" s="34">
        <f>COUNTIFS(GL_Import!$G$5:$G$45,G26)</f>
        <v/>
      </c>
      <c r="I26" s="34">
        <f>IF(H26=0,"Unmatched",IF(H26&gt;1,"Possible Duplicate","Matched"))</f>
        <v/>
      </c>
      <c r="J26" s="34" t="str"/>
    </row>
    <row r="27">
      <c r="A27" s="68" t="n">
        <v>46045</v>
      </c>
      <c r="B27" s="34" t="inlineStr">
        <is>
          <t>ACH-DEP-1009</t>
        </is>
      </c>
      <c r="C27" s="34" t="inlineStr">
        <is>
          <t>Customer ACH Deposit - Summit Contractors</t>
        </is>
      </c>
      <c r="D27" s="69" t="n">
        <v>4580</v>
      </c>
      <c r="E27" s="69" t="n">
        <v>0</v>
      </c>
      <c r="F27" s="69">
        <f>D27-E27</f>
        <v/>
      </c>
      <c r="G27" s="34">
        <f>TEXT(A27,"yyyymmdd")&amp;"|"&amp;TEXT(ROUND(ABS(F27),2),"0.00")</f>
        <v/>
      </c>
      <c r="H27" s="34">
        <f>COUNTIFS(GL_Import!$G$5:$G$45,G27)</f>
        <v/>
      </c>
      <c r="I27" s="34">
        <f>IF(H27=0,"Unmatched",IF(H27&gt;1,"Possible Duplicate","Matched"))</f>
        <v/>
      </c>
      <c r="J27" s="34" t="str"/>
    </row>
    <row r="28">
      <c r="A28" s="68" t="n">
        <v>46046</v>
      </c>
      <c r="B28" s="34" t="inlineStr">
        <is>
          <t>CHK-2206</t>
        </is>
      </c>
      <c r="C28" s="34" t="inlineStr">
        <is>
          <t>Cleared Check - BlueLine Labels</t>
        </is>
      </c>
      <c r="D28" s="69" t="n">
        <v>0</v>
      </c>
      <c r="E28" s="69" t="n">
        <v>990</v>
      </c>
      <c r="F28" s="69">
        <f>D28-E28</f>
        <v/>
      </c>
      <c r="G28" s="34">
        <f>TEXT(A28,"yyyymmdd")&amp;"|"&amp;TEXT(ROUND(ABS(F28),2),"0.00")</f>
        <v/>
      </c>
      <c r="H28" s="34">
        <f>COUNTIFS(GL_Import!$G$5:$G$45,G28)</f>
        <v/>
      </c>
      <c r="I28" s="34">
        <f>IF(H28=0,"Unmatched",IF(H28&gt;1,"Possible Duplicate","Matched"))</f>
        <v/>
      </c>
      <c r="J28" s="34" t="str"/>
    </row>
    <row r="29">
      <c r="A29" s="68" t="n">
        <v>46047</v>
      </c>
      <c r="B29" s="34" t="inlineStr">
        <is>
          <t>ACH-DEP-1010</t>
        </is>
      </c>
      <c r="C29" s="34" t="inlineStr">
        <is>
          <t>Customer ACH Deposit - Virginia Transit Parts</t>
        </is>
      </c>
      <c r="D29" s="69" t="n">
        <v>6900</v>
      </c>
      <c r="E29" s="69" t="n">
        <v>0</v>
      </c>
      <c r="F29" s="69">
        <f>D29-E29</f>
        <v/>
      </c>
      <c r="G29" s="34">
        <f>TEXT(A29,"yyyymmdd")&amp;"|"&amp;TEXT(ROUND(ABS(F29),2),"0.00")</f>
        <v/>
      </c>
      <c r="H29" s="34">
        <f>COUNTIFS(GL_Import!$G$5:$G$45,G29)</f>
        <v/>
      </c>
      <c r="I29" s="34">
        <f>IF(H29=0,"Unmatched",IF(H29&gt;1,"Possible Duplicate","Matched"))</f>
        <v/>
      </c>
      <c r="J29" s="34" t="str"/>
    </row>
    <row r="30">
      <c r="A30" s="68" t="n">
        <v>46048</v>
      </c>
      <c r="B30" s="34" t="inlineStr">
        <is>
          <t>ACH-CARD</t>
        </is>
      </c>
      <c r="C30" s="34" t="inlineStr">
        <is>
          <t>Credit Card Merchant Batch</t>
        </is>
      </c>
      <c r="D30" s="69" t="n">
        <v>2480</v>
      </c>
      <c r="E30" s="69" t="n">
        <v>0</v>
      </c>
      <c r="F30" s="69">
        <f>D30-E30</f>
        <v/>
      </c>
      <c r="G30" s="34">
        <f>TEXT(A30,"yyyymmdd")&amp;"|"&amp;TEXT(ROUND(ABS(F30),2),"0.00")</f>
        <v/>
      </c>
      <c r="H30" s="34">
        <f>COUNTIFS(GL_Import!$G$5:$G$45,G30)</f>
        <v/>
      </c>
      <c r="I30" s="34">
        <f>IF(H30=0,"Unmatched",IF(H30&gt;1,"Possible Duplicate","Matched"))</f>
        <v/>
      </c>
      <c r="J30" s="34" t="str"/>
    </row>
    <row r="31">
      <c r="A31" s="68" t="n">
        <v>46049</v>
      </c>
      <c r="B31" s="34" t="inlineStr">
        <is>
          <t>CHK-2207</t>
        </is>
      </c>
      <c r="C31" s="34" t="inlineStr">
        <is>
          <t>Cleared Check - Skyline Janitorial</t>
        </is>
      </c>
      <c r="D31" s="69" t="n">
        <v>0</v>
      </c>
      <c r="E31" s="69" t="n">
        <v>685</v>
      </c>
      <c r="F31" s="69">
        <f>D31-E31</f>
        <v/>
      </c>
      <c r="G31" s="34">
        <f>TEXT(A31,"yyyymmdd")&amp;"|"&amp;TEXT(ROUND(ABS(F31),2),"0.00")</f>
        <v/>
      </c>
      <c r="H31" s="34">
        <f>COUNTIFS(GL_Import!$G$5:$G$45,G31)</f>
        <v/>
      </c>
      <c r="I31" s="34">
        <f>IF(H31=0,"Unmatched",IF(H31&gt;1,"Possible Duplicate","Matched"))</f>
        <v/>
      </c>
      <c r="J31" s="34" t="str"/>
    </row>
    <row r="32">
      <c r="A32" s="68" t="n">
        <v>46050</v>
      </c>
      <c r="B32" s="34" t="inlineStr">
        <is>
          <t>ACH-DEP-1011</t>
        </is>
      </c>
      <c r="C32" s="34" t="inlineStr">
        <is>
          <t>Customer ACH Deposit - Appalachian Retail</t>
        </is>
      </c>
      <c r="D32" s="69" t="n">
        <v>5640</v>
      </c>
      <c r="E32" s="69" t="n">
        <v>0</v>
      </c>
      <c r="F32" s="69">
        <f>D32-E32</f>
        <v/>
      </c>
      <c r="G32" s="34">
        <f>TEXT(A32,"yyyymmdd")&amp;"|"&amp;TEXT(ROUND(ABS(F32),2),"0.00")</f>
        <v/>
      </c>
      <c r="H32" s="34">
        <f>COUNTIFS(GL_Import!$G$5:$G$45,G32)</f>
        <v/>
      </c>
      <c r="I32" s="34">
        <f>IF(H32=0,"Unmatched",IF(H32&gt;1,"Possible Duplicate","Matched"))</f>
        <v/>
      </c>
      <c r="J32" s="34" t="str"/>
    </row>
    <row r="33">
      <c r="A33" s="68" t="n">
        <v>46051</v>
      </c>
      <c r="B33" s="34" t="inlineStr">
        <is>
          <t>WIRE-7003</t>
        </is>
      </c>
      <c r="C33" s="34" t="inlineStr">
        <is>
          <t>Wire Payment - National Resin Co.</t>
        </is>
      </c>
      <c r="D33" s="69" t="n">
        <v>0</v>
      </c>
      <c r="E33" s="69" t="n">
        <v>6225</v>
      </c>
      <c r="F33" s="69">
        <f>D33-E33</f>
        <v/>
      </c>
      <c r="G33" s="34">
        <f>TEXT(A33,"yyyymmdd")&amp;"|"&amp;TEXT(ROUND(ABS(F33),2),"0.00")</f>
        <v/>
      </c>
      <c r="H33" s="34">
        <f>COUNTIFS(GL_Import!$G$5:$G$45,G33)</f>
        <v/>
      </c>
      <c r="I33" s="34">
        <f>IF(H33=0,"Unmatched",IF(H33&gt;1,"Possible Duplicate","Matched"))</f>
        <v/>
      </c>
      <c r="J33" s="34" t="str"/>
    </row>
    <row r="34">
      <c r="A34" s="68" t="n">
        <v>46052</v>
      </c>
      <c r="B34" s="34" t="inlineStr">
        <is>
          <t>ACH-DEP-1012</t>
        </is>
      </c>
      <c r="C34" s="34" t="inlineStr">
        <is>
          <t>Customer ACH Deposit - Chesapeake Fabricators</t>
        </is>
      </c>
      <c r="D34" s="69" t="n">
        <v>7800</v>
      </c>
      <c r="E34" s="69" t="n">
        <v>0</v>
      </c>
      <c r="F34" s="69">
        <f>D34-E34</f>
        <v/>
      </c>
      <c r="G34" s="34">
        <f>TEXT(A34,"yyyymmdd")&amp;"|"&amp;TEXT(ROUND(ABS(F34),2),"0.00")</f>
        <v/>
      </c>
      <c r="H34" s="34">
        <f>COUNTIFS(GL_Import!$G$5:$G$45,G34)</f>
        <v/>
      </c>
      <c r="I34" s="34">
        <f>IF(H34=0,"Unmatched",IF(H34&gt;1,"Possible Duplicate","Matched"))</f>
        <v/>
      </c>
      <c r="J34" s="34" t="str"/>
    </row>
    <row r="35">
      <c r="A35" s="68" t="n">
        <v>46052</v>
      </c>
      <c r="B35" s="34" t="inlineStr">
        <is>
          <t>INT</t>
        </is>
      </c>
      <c r="C35" s="34" t="inlineStr">
        <is>
          <t>Interest Credit</t>
        </is>
      </c>
      <c r="D35" s="69" t="n">
        <v>14.22</v>
      </c>
      <c r="E35" s="69" t="n">
        <v>0</v>
      </c>
      <c r="F35" s="69">
        <f>D35-E35</f>
        <v/>
      </c>
      <c r="G35" s="34">
        <f>TEXT(A35,"yyyymmdd")&amp;"|"&amp;TEXT(ROUND(ABS(F35),2),"0.00")</f>
        <v/>
      </c>
      <c r="H35" s="34">
        <f>COUNTIFS(GL_Import!$G$5:$G$45,G35)</f>
        <v/>
      </c>
      <c r="I35" s="34">
        <f>IF(H35=0,"Unmatched",IF(H35&gt;1,"Possible Duplicate","Matched"))</f>
        <v/>
      </c>
      <c r="J35" s="34" t="str"/>
    </row>
    <row r="36">
      <c r="A36" s="68" t="n">
        <v>46053</v>
      </c>
      <c r="B36" s="34" t="inlineStr">
        <is>
          <t>ACH-TAX</t>
        </is>
      </c>
      <c r="C36" s="34" t="inlineStr">
        <is>
          <t>Payroll Tax Payment</t>
        </is>
      </c>
      <c r="D36" s="69" t="n">
        <v>0</v>
      </c>
      <c r="E36" s="69" t="n">
        <v>7025</v>
      </c>
      <c r="F36" s="69">
        <f>D36-E36</f>
        <v/>
      </c>
      <c r="G36" s="34">
        <f>TEXT(A36,"yyyymmdd")&amp;"|"&amp;TEXT(ROUND(ABS(F36),2),"0.00")</f>
        <v/>
      </c>
      <c r="H36" s="34">
        <f>COUNTIFS(GL_Import!$G$5:$G$45,G36)</f>
        <v/>
      </c>
      <c r="I36" s="34">
        <f>IF(H36=0,"Unmatched",IF(H36&gt;1,"Possible Duplicate","Matched"))</f>
        <v/>
      </c>
      <c r="J36" s="34" t="str"/>
    </row>
  </sheetData>
  <mergeCells count="2">
    <mergeCell ref="A1:J1"/>
    <mergeCell ref="A2:J2"/>
  </mergeCells>
  <conditionalFormatting sqref="I5:I500">
    <cfRule type="expression" priority="1" dxfId="0">
      <formula>$I5="Matched"</formula>
    </cfRule>
    <cfRule type="expression" priority="2" dxfId="1">
      <formula>$I5="Unmatched"</formula>
    </cfRule>
    <cfRule type="expression" priority="3" dxfId="2">
      <formula>$I5="Possible Duplicate"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8" customWidth="1" min="9" max="9"/>
    <col width="32" customWidth="1" min="10" max="10"/>
  </cols>
  <sheetData>
    <row r="1" ht="28" customHeight="1">
      <c r="A1" s="9" t="inlineStr">
        <is>
          <t>GL Import / Cash Account Transactions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7" t="inlineStr">
        <is>
          <t>Sample general ledger cash activity for matching against bank activity.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24" customHeight="1">
      <c r="A4" s="22" t="inlineStr">
        <is>
          <t>Date</t>
        </is>
      </c>
      <c r="B4" s="22" t="inlineStr">
        <is>
          <t>GL Ref</t>
        </is>
      </c>
      <c r="C4" s="22" t="inlineStr">
        <is>
          <t>Description</t>
        </is>
      </c>
      <c r="D4" s="22" t="inlineStr">
        <is>
          <t>Receipt</t>
        </is>
      </c>
      <c r="E4" s="22" t="inlineStr">
        <is>
          <t>Payment</t>
        </is>
      </c>
      <c r="F4" s="22" t="inlineStr">
        <is>
          <t>Amount</t>
        </is>
      </c>
      <c r="G4" s="22" t="inlineStr">
        <is>
          <t>Match Key</t>
        </is>
      </c>
      <c r="H4" s="22" t="inlineStr">
        <is>
          <t>Bank Match Count</t>
        </is>
      </c>
      <c r="I4" s="22" t="inlineStr">
        <is>
          <t>Status</t>
        </is>
      </c>
      <c r="J4" s="22" t="inlineStr">
        <is>
          <t>Student Notes</t>
        </is>
      </c>
    </row>
    <row r="5">
      <c r="A5" s="68" t="n">
        <v>46024</v>
      </c>
      <c r="B5" s="34" t="inlineStr">
        <is>
          <t>DEP-1001</t>
        </is>
      </c>
      <c r="C5" s="34" t="inlineStr">
        <is>
          <t>Receipt - Blue Ridge Retail</t>
        </is>
      </c>
      <c r="D5" s="69" t="n">
        <v>4200</v>
      </c>
      <c r="E5" s="69" t="n">
        <v>0</v>
      </c>
      <c r="F5" s="69">
        <f>D5-E5</f>
        <v/>
      </c>
      <c r="G5" s="34">
        <f>TEXT(A5,"yyyymmdd")&amp;"|"&amp;TEXT(ROUND(ABS(F5),2),"0.00")</f>
        <v/>
      </c>
      <c r="H5" s="34">
        <f>COUNTIFS(Bank_Import!$G$5:$G$45,G5)</f>
        <v/>
      </c>
      <c r="I5" s="34">
        <f>IF(COUNTIFS($G$5:$G$45,G5)&gt;1,"Possible Duplicate",IF(H5=0,"Unmatched",IF(H5&gt;1,"Possible Duplicate","Matched")))</f>
        <v/>
      </c>
      <c r="J5" s="34" t="str"/>
    </row>
    <row r="6">
      <c r="A6" s="68" t="n">
        <v>46025</v>
      </c>
      <c r="B6" s="34" t="inlineStr">
        <is>
          <t>BILLPAY-2201</t>
        </is>
      </c>
      <c r="C6" s="34" t="inlineStr">
        <is>
          <t>Payment - Dominion Materials</t>
        </is>
      </c>
      <c r="D6" s="69" t="n">
        <v>0</v>
      </c>
      <c r="E6" s="69" t="n">
        <v>3150</v>
      </c>
      <c r="F6" s="69">
        <f>D6-E6</f>
        <v/>
      </c>
      <c r="G6" s="34">
        <f>TEXT(A6,"yyyymmdd")&amp;"|"&amp;TEXT(ROUND(ABS(F6),2),"0.00")</f>
        <v/>
      </c>
      <c r="H6" s="34">
        <f>COUNTIFS(Bank_Import!$G$5:$G$45,G6)</f>
        <v/>
      </c>
      <c r="I6" s="34">
        <f>IF(COUNTIFS($G$5:$G$45,G6)&gt;1,"Possible Duplicate",IF(H6=0,"Unmatched",IF(H6&gt;1,"Possible Duplicate","Matched")))</f>
        <v/>
      </c>
      <c r="J6" s="34" t="str"/>
    </row>
    <row r="7">
      <c r="A7" s="68" t="n">
        <v>46026</v>
      </c>
      <c r="B7" s="34" t="inlineStr">
        <is>
          <t>UTIL-JAN</t>
        </is>
      </c>
      <c r="C7" s="34" t="inlineStr">
        <is>
          <t>Utility Payment - Dominion Energy</t>
        </is>
      </c>
      <c r="D7" s="69" t="n">
        <v>0</v>
      </c>
      <c r="E7" s="69" t="n">
        <v>1280.75</v>
      </c>
      <c r="F7" s="69">
        <f>D7-E7</f>
        <v/>
      </c>
      <c r="G7" s="34">
        <f>TEXT(A7,"yyyymmdd")&amp;"|"&amp;TEXT(ROUND(ABS(F7),2),"0.00")</f>
        <v/>
      </c>
      <c r="H7" s="34">
        <f>COUNTIFS(Bank_Import!$G$5:$G$45,G7)</f>
        <v/>
      </c>
      <c r="I7" s="34">
        <f>IF(COUNTIFS($G$5:$G$45,G7)&gt;1,"Possible Duplicate",IF(H7=0,"Unmatched",IF(H7&gt;1,"Possible Duplicate","Matched")))</f>
        <v/>
      </c>
      <c r="J7" s="34" t="str"/>
    </row>
    <row r="8">
      <c r="A8" s="68" t="n">
        <v>46027</v>
      </c>
      <c r="B8" s="34" t="inlineStr">
        <is>
          <t>DEP-1002</t>
        </is>
      </c>
      <c r="C8" s="34" t="inlineStr">
        <is>
          <t>Receipt - Shenandoah Builders</t>
        </is>
      </c>
      <c r="D8" s="69" t="n">
        <v>5580</v>
      </c>
      <c r="E8" s="69" t="n">
        <v>0</v>
      </c>
      <c r="F8" s="69">
        <f>D8-E8</f>
        <v/>
      </c>
      <c r="G8" s="34">
        <f>TEXT(A8,"yyyymmdd")&amp;"|"&amp;TEXT(ROUND(ABS(F8),2),"0.00")</f>
        <v/>
      </c>
      <c r="H8" s="34">
        <f>COUNTIFS(Bank_Import!$G$5:$G$45,G8)</f>
        <v/>
      </c>
      <c r="I8" s="34">
        <f>IF(COUNTIFS($G$5:$G$45,G8)&gt;1,"Possible Duplicate",IF(H8=0,"Unmatched",IF(H8&gt;1,"Possible Duplicate","Matched")))</f>
        <v/>
      </c>
      <c r="J8" s="34" t="inlineStr">
        <is>
          <t>Entered wrong amount; bank shows 5,850</t>
        </is>
      </c>
    </row>
    <row r="9">
      <c r="A9" s="68" t="n">
        <v>46028</v>
      </c>
      <c r="B9" s="34" t="inlineStr">
        <is>
          <t>BILLPAY-7001</t>
        </is>
      </c>
      <c r="C9" s="34" t="inlineStr">
        <is>
          <t>Payment - Atlantic Steel</t>
        </is>
      </c>
      <c r="D9" s="69" t="n">
        <v>0</v>
      </c>
      <c r="E9" s="69" t="n">
        <v>8425.5</v>
      </c>
      <c r="F9" s="69">
        <f>D9-E9</f>
        <v/>
      </c>
      <c r="G9" s="34">
        <f>TEXT(A9,"yyyymmdd")&amp;"|"&amp;TEXT(ROUND(ABS(F9),2),"0.00")</f>
        <v/>
      </c>
      <c r="H9" s="34">
        <f>COUNTIFS(Bank_Import!$G$5:$G$45,G9)</f>
        <v/>
      </c>
      <c r="I9" s="34">
        <f>IF(COUNTIFS($G$5:$G$45,G9)&gt;1,"Possible Duplicate",IF(H9=0,"Unmatched",IF(H9&gt;1,"Possible Duplicate","Matched")))</f>
        <v/>
      </c>
      <c r="J9" s="34" t="str"/>
    </row>
    <row r="10">
      <c r="A10" s="68" t="n">
        <v>46029</v>
      </c>
      <c r="B10" s="34" t="inlineStr">
        <is>
          <t>DEP-1003</t>
        </is>
      </c>
      <c r="C10" s="34" t="inlineStr">
        <is>
          <t>Receipt - Cardinal HVAC</t>
        </is>
      </c>
      <c r="D10" s="69" t="n">
        <v>3725</v>
      </c>
      <c r="E10" s="69" t="n">
        <v>0</v>
      </c>
      <c r="F10" s="69">
        <f>D10-E10</f>
        <v/>
      </c>
      <c r="G10" s="34">
        <f>TEXT(A10,"yyyymmdd")&amp;"|"&amp;TEXT(ROUND(ABS(F10),2),"0.00")</f>
        <v/>
      </c>
      <c r="H10" s="34">
        <f>COUNTIFS(Bank_Import!$G$5:$G$45,G10)</f>
        <v/>
      </c>
      <c r="I10" s="34">
        <f>IF(COUNTIFS($G$5:$G$45,G10)&gt;1,"Possible Duplicate",IF(H10=0,"Unmatched",IF(H10&gt;1,"Possible Duplicate","Matched")))</f>
        <v/>
      </c>
      <c r="J10" s="34" t="str"/>
    </row>
    <row r="11">
      <c r="A11" s="68" t="n">
        <v>46030</v>
      </c>
      <c r="B11" s="34" t="inlineStr">
        <is>
          <t>BILLPAY-2202</t>
        </is>
      </c>
      <c r="C11" s="34" t="inlineStr">
        <is>
          <t>Payment - Piedmont Packaging</t>
        </is>
      </c>
      <c r="D11" s="69" t="n">
        <v>0</v>
      </c>
      <c r="E11" s="69" t="n">
        <v>2190</v>
      </c>
      <c r="F11" s="69">
        <f>D11-E11</f>
        <v/>
      </c>
      <c r="G11" s="34">
        <f>TEXT(A11,"yyyymmdd")&amp;"|"&amp;TEXT(ROUND(ABS(F11),2),"0.00")</f>
        <v/>
      </c>
      <c r="H11" s="34">
        <f>COUNTIFS(Bank_Import!$G$5:$G$45,G11)</f>
        <v/>
      </c>
      <c r="I11" s="34">
        <f>IF(COUNTIFS($G$5:$G$45,G11)&gt;1,"Possible Duplicate",IF(H11=0,"Unmatched",IF(H11&gt;1,"Possible Duplicate","Matched")))</f>
        <v/>
      </c>
      <c r="J11" s="34" t="str"/>
    </row>
    <row r="12">
      <c r="A12" s="68" t="n">
        <v>46031</v>
      </c>
      <c r="B12" s="34" t="inlineStr">
        <is>
          <t>PR-010926</t>
        </is>
      </c>
      <c r="C12" s="34" t="inlineStr">
        <is>
          <t>Payroll Direct Deposit</t>
        </is>
      </c>
      <c r="D12" s="69" t="n">
        <v>0</v>
      </c>
      <c r="E12" s="69" t="n">
        <v>26500</v>
      </c>
      <c r="F12" s="69">
        <f>D12-E12</f>
        <v/>
      </c>
      <c r="G12" s="34">
        <f>TEXT(A12,"yyyymmdd")&amp;"|"&amp;TEXT(ROUND(ABS(F12),2),"0.00")</f>
        <v/>
      </c>
      <c r="H12" s="34">
        <f>COUNTIFS(Bank_Import!$G$5:$G$45,G12)</f>
        <v/>
      </c>
      <c r="I12" s="34">
        <f>IF(COUNTIFS($G$5:$G$45,G12)&gt;1,"Possible Duplicate",IF(H12=0,"Unmatched",IF(H12&gt;1,"Possible Duplicate","Matched")))</f>
        <v/>
      </c>
      <c r="J12" s="34" t="str"/>
    </row>
    <row r="13">
      <c r="A13" s="68" t="n">
        <v>46032</v>
      </c>
      <c r="B13" s="34" t="inlineStr">
        <is>
          <t>DEP-1004</t>
        </is>
      </c>
      <c r="C13" s="34" t="inlineStr">
        <is>
          <t>Receipt - Coastal Supply</t>
        </is>
      </c>
      <c r="D13" s="69" t="n">
        <v>6100</v>
      </c>
      <c r="E13" s="69" t="n">
        <v>0</v>
      </c>
      <c r="F13" s="69">
        <f>D13-E13</f>
        <v/>
      </c>
      <c r="G13" s="34">
        <f>TEXT(A13,"yyyymmdd")&amp;"|"&amp;TEXT(ROUND(ABS(F13),2),"0.00")</f>
        <v/>
      </c>
      <c r="H13" s="34">
        <f>COUNTIFS(Bank_Import!$G$5:$G$45,G13)</f>
        <v/>
      </c>
      <c r="I13" s="34">
        <f>IF(COUNTIFS($G$5:$G$45,G13)&gt;1,"Possible Duplicate",IF(H13=0,"Unmatched",IF(H13&gt;1,"Possible Duplicate","Matched")))</f>
        <v/>
      </c>
      <c r="J13" s="34" t="str"/>
    </row>
    <row r="14">
      <c r="A14" s="68" t="n">
        <v>46033</v>
      </c>
      <c r="B14" s="34" t="inlineStr">
        <is>
          <t>BILLPAY-2203</t>
        </is>
      </c>
      <c r="C14" s="34" t="inlineStr">
        <is>
          <t>Payment - Virginia Office Supply</t>
        </is>
      </c>
      <c r="D14" s="69" t="n">
        <v>0</v>
      </c>
      <c r="E14" s="69" t="n">
        <v>745.9</v>
      </c>
      <c r="F14" s="69">
        <f>D14-E14</f>
        <v/>
      </c>
      <c r="G14" s="34">
        <f>TEXT(A14,"yyyymmdd")&amp;"|"&amp;TEXT(ROUND(ABS(F14),2),"0.00")</f>
        <v/>
      </c>
      <c r="H14" s="34">
        <f>COUNTIFS(Bank_Import!$G$5:$G$45,G14)</f>
        <v/>
      </c>
      <c r="I14" s="34">
        <f>IF(COUNTIFS($G$5:$G$45,G14)&gt;1,"Possible Duplicate",IF(H14=0,"Unmatched",IF(H14&gt;1,"Possible Duplicate","Matched")))</f>
        <v/>
      </c>
      <c r="J14" s="34" t="str"/>
    </row>
    <row r="15">
      <c r="A15" s="68" t="n">
        <v>46034</v>
      </c>
      <c r="B15" s="34" t="inlineStr">
        <is>
          <t>SUB-QBO</t>
        </is>
      </c>
      <c r="C15" s="34" t="inlineStr">
        <is>
          <t>QuickBooks Payroll Subscription</t>
        </is>
      </c>
      <c r="D15" s="69" t="n">
        <v>0</v>
      </c>
      <c r="E15" s="69" t="n">
        <v>348</v>
      </c>
      <c r="F15" s="69">
        <f>D15-E15</f>
        <v/>
      </c>
      <c r="G15" s="34">
        <f>TEXT(A15,"yyyymmdd")&amp;"|"&amp;TEXT(ROUND(ABS(F15),2),"0.00")</f>
        <v/>
      </c>
      <c r="H15" s="34">
        <f>COUNTIFS(Bank_Import!$G$5:$G$45,G15)</f>
        <v/>
      </c>
      <c r="I15" s="34">
        <f>IF(COUNTIFS($G$5:$G$45,G15)&gt;1,"Possible Duplicate",IF(H15=0,"Unmatched",IF(H15&gt;1,"Possible Duplicate","Matched")))</f>
        <v/>
      </c>
      <c r="J15" s="34" t="str"/>
    </row>
    <row r="16">
      <c r="A16" s="68" t="n">
        <v>46035</v>
      </c>
      <c r="B16" s="34" t="inlineStr">
        <is>
          <t>DEP-1005</t>
        </is>
      </c>
      <c r="C16" s="34" t="inlineStr">
        <is>
          <t>Receipt - Metro Equipment</t>
        </is>
      </c>
      <c r="D16" s="69" t="n">
        <v>4900</v>
      </c>
      <c r="E16" s="69" t="n">
        <v>0</v>
      </c>
      <c r="F16" s="69">
        <f>D16-E16</f>
        <v/>
      </c>
      <c r="G16" s="34">
        <f>TEXT(A16,"yyyymmdd")&amp;"|"&amp;TEXT(ROUND(ABS(F16),2),"0.00")</f>
        <v/>
      </c>
      <c r="H16" s="34">
        <f>COUNTIFS(Bank_Import!$G$5:$G$45,G16)</f>
        <v/>
      </c>
      <c r="I16" s="34">
        <f>IF(COUNTIFS($G$5:$G$45,G16)&gt;1,"Possible Duplicate",IF(H16=0,"Unmatched",IF(H16&gt;1,"Possible Duplicate","Matched")))</f>
        <v/>
      </c>
      <c r="J16" s="34" t="str"/>
    </row>
    <row r="17">
      <c r="A17" s="68" t="n">
        <v>46036</v>
      </c>
      <c r="B17" s="34" t="inlineStr">
        <is>
          <t>BILLPAY-7002</t>
        </is>
      </c>
      <c r="C17" s="34" t="inlineStr">
        <is>
          <t>Payment - Capital Machinery Leasing</t>
        </is>
      </c>
      <c r="D17" s="69" t="n">
        <v>0</v>
      </c>
      <c r="E17" s="69" t="n">
        <v>4160</v>
      </c>
      <c r="F17" s="69">
        <f>D17-E17</f>
        <v/>
      </c>
      <c r="G17" s="34">
        <f>TEXT(A17,"yyyymmdd")&amp;"|"&amp;TEXT(ROUND(ABS(F17),2),"0.00")</f>
        <v/>
      </c>
      <c r="H17" s="34">
        <f>COUNTIFS(Bank_Import!$G$5:$G$45,G17)</f>
        <v/>
      </c>
      <c r="I17" s="34">
        <f>IF(COUNTIFS($G$5:$G$45,G17)&gt;1,"Possible Duplicate",IF(H17=0,"Unmatched",IF(H17&gt;1,"Possible Duplicate","Matched")))</f>
        <v/>
      </c>
      <c r="J17" s="34" t="str"/>
    </row>
    <row r="18">
      <c r="A18" s="68" t="n">
        <v>46037</v>
      </c>
      <c r="B18" s="34" t="inlineStr">
        <is>
          <t>RENT-JAN</t>
        </is>
      </c>
      <c r="C18" s="34" t="inlineStr">
        <is>
          <t>Rent Payment - Fairfax Industrial Park</t>
        </is>
      </c>
      <c r="D18" s="69" t="n">
        <v>0</v>
      </c>
      <c r="E18" s="69" t="n">
        <v>8750</v>
      </c>
      <c r="F18" s="69">
        <f>D18-E18</f>
        <v/>
      </c>
      <c r="G18" s="34">
        <f>TEXT(A18,"yyyymmdd")&amp;"|"&amp;TEXT(ROUND(ABS(F18),2),"0.00")</f>
        <v/>
      </c>
      <c r="H18" s="34">
        <f>COUNTIFS(Bank_Import!$G$5:$G$45,G18)</f>
        <v/>
      </c>
      <c r="I18" s="34">
        <f>IF(COUNTIFS($G$5:$G$45,G18)&gt;1,"Possible Duplicate",IF(H18=0,"Unmatched",IF(H18&gt;1,"Possible Duplicate","Matched")))</f>
        <v/>
      </c>
      <c r="J18" s="34" t="str"/>
    </row>
    <row r="19">
      <c r="A19" s="68" t="n">
        <v>46038</v>
      </c>
      <c r="B19" s="34" t="inlineStr">
        <is>
          <t>DEP-1006</t>
        </is>
      </c>
      <c r="C19" s="34" t="inlineStr">
        <is>
          <t>Receipt - Old Dominion Components</t>
        </is>
      </c>
      <c r="D19" s="69" t="n">
        <v>7250</v>
      </c>
      <c r="E19" s="69" t="n">
        <v>0</v>
      </c>
      <c r="F19" s="69">
        <f>D19-E19</f>
        <v/>
      </c>
      <c r="G19" s="34">
        <f>TEXT(A19,"yyyymmdd")&amp;"|"&amp;TEXT(ROUND(ABS(F19),2),"0.00")</f>
        <v/>
      </c>
      <c r="H19" s="34">
        <f>COUNTIFS(Bank_Import!$G$5:$G$45,G19)</f>
        <v/>
      </c>
      <c r="I19" s="34">
        <f>IF(COUNTIFS($G$5:$G$45,G19)&gt;1,"Possible Duplicate",IF(H19=0,"Unmatched",IF(H19&gt;1,"Possible Duplicate","Matched")))</f>
        <v/>
      </c>
      <c r="J19" s="34" t="str"/>
    </row>
    <row r="20">
      <c r="A20" s="68" t="n">
        <v>46039</v>
      </c>
      <c r="B20" s="34" t="inlineStr">
        <is>
          <t>BILLPAY-2204</t>
        </is>
      </c>
      <c r="C20" s="34" t="inlineStr">
        <is>
          <t>Payment - SafetyFirst Supplies</t>
        </is>
      </c>
      <c r="D20" s="69" t="n">
        <v>0</v>
      </c>
      <c r="E20" s="69" t="n">
        <v>1250</v>
      </c>
      <c r="F20" s="69">
        <f>D20-E20</f>
        <v/>
      </c>
      <c r="G20" s="34">
        <f>TEXT(A20,"yyyymmdd")&amp;"|"&amp;TEXT(ROUND(ABS(F20),2),"0.00")</f>
        <v/>
      </c>
      <c r="H20" s="34">
        <f>COUNTIFS(Bank_Import!$G$5:$G$45,G20)</f>
        <v/>
      </c>
      <c r="I20" s="34">
        <f>IF(COUNTIFS($G$5:$G$45,G20)&gt;1,"Possible Duplicate",IF(H20=0,"Unmatched",IF(H20&gt;1,"Possible Duplicate","Matched")))</f>
        <v/>
      </c>
      <c r="J20" s="34" t="str"/>
    </row>
    <row r="21">
      <c r="A21" s="68" t="n">
        <v>46040</v>
      </c>
      <c r="B21" s="34" t="inlineStr">
        <is>
          <t>INS-JAN</t>
        </is>
      </c>
      <c r="C21" s="34" t="inlineStr">
        <is>
          <t>Insurance Premium</t>
        </is>
      </c>
      <c r="D21" s="69" t="n">
        <v>0</v>
      </c>
      <c r="E21" s="69" t="n">
        <v>1950</v>
      </c>
      <c r="F21" s="69">
        <f>D21-E21</f>
        <v/>
      </c>
      <c r="G21" s="34">
        <f>TEXT(A21,"yyyymmdd")&amp;"|"&amp;TEXT(ROUND(ABS(F21),2),"0.00")</f>
        <v/>
      </c>
      <c r="H21" s="34">
        <f>COUNTIFS(Bank_Import!$G$5:$G$45,G21)</f>
        <v/>
      </c>
      <c r="I21" s="34">
        <f>IF(COUNTIFS($G$5:$G$45,G21)&gt;1,"Possible Duplicate",IF(H21=0,"Unmatched",IF(H21&gt;1,"Possible Duplicate","Matched")))</f>
        <v/>
      </c>
      <c r="J21" s="34" t="str"/>
    </row>
    <row r="22">
      <c r="A22" s="68" t="n">
        <v>46041</v>
      </c>
      <c r="B22" s="34" t="inlineStr">
        <is>
          <t>DEP-1007</t>
        </is>
      </c>
      <c r="C22" s="34" t="inlineStr">
        <is>
          <t>Receipt - Potomac Builders</t>
        </is>
      </c>
      <c r="D22" s="69" t="n">
        <v>3360</v>
      </c>
      <c r="E22" s="69" t="n">
        <v>0</v>
      </c>
      <c r="F22" s="69">
        <f>D22-E22</f>
        <v/>
      </c>
      <c r="G22" s="34">
        <f>TEXT(A22,"yyyymmdd")&amp;"|"&amp;TEXT(ROUND(ABS(F22),2),"0.00")</f>
        <v/>
      </c>
      <c r="H22" s="34">
        <f>COUNTIFS(Bank_Import!$G$5:$G$45,G22)</f>
        <v/>
      </c>
      <c r="I22" s="34">
        <f>IF(COUNTIFS($G$5:$G$45,G22)&gt;1,"Possible Duplicate",IF(H22=0,"Unmatched",IF(H22&gt;1,"Possible Duplicate","Matched")))</f>
        <v/>
      </c>
      <c r="J22" s="34" t="str"/>
    </row>
    <row r="23">
      <c r="A23" s="68" t="n">
        <v>46042</v>
      </c>
      <c r="B23" s="34" t="inlineStr">
        <is>
          <t>BILLPAY-2205</t>
        </is>
      </c>
      <c r="C23" s="34" t="inlineStr">
        <is>
          <t>Payment - Ridgeway Freight</t>
        </is>
      </c>
      <c r="D23" s="69" t="n">
        <v>0</v>
      </c>
      <c r="E23" s="69" t="n">
        <v>1885.25</v>
      </c>
      <c r="F23" s="69">
        <f>D23-E23</f>
        <v/>
      </c>
      <c r="G23" s="34">
        <f>TEXT(A23,"yyyymmdd")&amp;"|"&amp;TEXT(ROUND(ABS(F23),2),"0.00")</f>
        <v/>
      </c>
      <c r="H23" s="34">
        <f>COUNTIFS(Bank_Import!$G$5:$G$45,G23)</f>
        <v/>
      </c>
      <c r="I23" s="34">
        <f>IF(COUNTIFS($G$5:$G$45,G23)&gt;1,"Possible Duplicate",IF(H23=0,"Unmatched",IF(H23&gt;1,"Possible Duplicate","Matched")))</f>
        <v/>
      </c>
      <c r="J23" s="34" t="str"/>
    </row>
    <row r="24">
      <c r="A24" s="68" t="n">
        <v>46043</v>
      </c>
      <c r="B24" s="34" t="inlineStr">
        <is>
          <t>DEP-1008</t>
        </is>
      </c>
      <c r="C24" s="34" t="inlineStr">
        <is>
          <t>Receipt - Harbor Fixtures</t>
        </is>
      </c>
      <c r="D24" s="69" t="n">
        <v>5125</v>
      </c>
      <c r="E24" s="69" t="n">
        <v>0</v>
      </c>
      <c r="F24" s="69">
        <f>D24-E24</f>
        <v/>
      </c>
      <c r="G24" s="34">
        <f>TEXT(A24,"yyyymmdd")&amp;"|"&amp;TEXT(ROUND(ABS(F24),2),"0.00")</f>
        <v/>
      </c>
      <c r="H24" s="34">
        <f>COUNTIFS(Bank_Import!$G$5:$G$45,G24)</f>
        <v/>
      </c>
      <c r="I24" s="34">
        <f>IF(COUNTIFS($G$5:$G$45,G24)&gt;1,"Possible Duplicate",IF(H24=0,"Unmatched",IF(H24&gt;1,"Possible Duplicate","Matched")))</f>
        <v/>
      </c>
      <c r="J24" s="34" t="str"/>
    </row>
    <row r="25">
      <c r="A25" s="68" t="n">
        <v>46044</v>
      </c>
      <c r="B25" s="34" t="inlineStr">
        <is>
          <t>LOAN-PMT</t>
        </is>
      </c>
      <c r="C25" s="34" t="inlineStr">
        <is>
          <t>Business Loan Payment</t>
        </is>
      </c>
      <c r="D25" s="69" t="n">
        <v>0</v>
      </c>
      <c r="E25" s="69" t="n">
        <v>4895</v>
      </c>
      <c r="F25" s="69">
        <f>D25-E25</f>
        <v/>
      </c>
      <c r="G25" s="34">
        <f>TEXT(A25,"yyyymmdd")&amp;"|"&amp;TEXT(ROUND(ABS(F25),2),"0.00")</f>
        <v/>
      </c>
      <c r="H25" s="34">
        <f>COUNTIFS(Bank_Import!$G$5:$G$45,G25)</f>
        <v/>
      </c>
      <c r="I25" s="34">
        <f>IF(COUNTIFS($G$5:$G$45,G25)&gt;1,"Possible Duplicate",IF(H25=0,"Unmatched",IF(H25&gt;1,"Possible Duplicate","Matched")))</f>
        <v/>
      </c>
      <c r="J25" s="34" t="str"/>
    </row>
    <row r="26">
      <c r="A26" s="68" t="n">
        <v>46045</v>
      </c>
      <c r="B26" s="34" t="inlineStr">
        <is>
          <t>DEP-1009</t>
        </is>
      </c>
      <c r="C26" s="34" t="inlineStr">
        <is>
          <t>Receipt - Summit Contractors</t>
        </is>
      </c>
      <c r="D26" s="69" t="n">
        <v>4580</v>
      </c>
      <c r="E26" s="69" t="n">
        <v>0</v>
      </c>
      <c r="F26" s="69">
        <f>D26-E26</f>
        <v/>
      </c>
      <c r="G26" s="34">
        <f>TEXT(A26,"yyyymmdd")&amp;"|"&amp;TEXT(ROUND(ABS(F26),2),"0.00")</f>
        <v/>
      </c>
      <c r="H26" s="34">
        <f>COUNTIFS(Bank_Import!$G$5:$G$45,G26)</f>
        <v/>
      </c>
      <c r="I26" s="34">
        <f>IF(COUNTIFS($G$5:$G$45,G26)&gt;1,"Possible Duplicate",IF(H26=0,"Unmatched",IF(H26&gt;1,"Possible Duplicate","Matched")))</f>
        <v/>
      </c>
      <c r="J26" s="34" t="str"/>
    </row>
    <row r="27">
      <c r="A27" s="68" t="n">
        <v>46046</v>
      </c>
      <c r="B27" s="34" t="inlineStr">
        <is>
          <t>BILLPAY-2206</t>
        </is>
      </c>
      <c r="C27" s="34" t="inlineStr">
        <is>
          <t>Payment - BlueLine Labels</t>
        </is>
      </c>
      <c r="D27" s="69" t="n">
        <v>0</v>
      </c>
      <c r="E27" s="69" t="n">
        <v>990</v>
      </c>
      <c r="F27" s="69">
        <f>D27-E27</f>
        <v/>
      </c>
      <c r="G27" s="34">
        <f>TEXT(A27,"yyyymmdd")&amp;"|"&amp;TEXT(ROUND(ABS(F27),2),"0.00")</f>
        <v/>
      </c>
      <c r="H27" s="34">
        <f>COUNTIFS(Bank_Import!$G$5:$G$45,G27)</f>
        <v/>
      </c>
      <c r="I27" s="34">
        <f>IF(COUNTIFS($G$5:$G$45,G27)&gt;1,"Possible Duplicate",IF(H27=0,"Unmatched",IF(H27&gt;1,"Possible Duplicate","Matched")))</f>
        <v/>
      </c>
      <c r="J27" s="34" t="str"/>
    </row>
    <row r="28">
      <c r="A28" s="68" t="n">
        <v>46047</v>
      </c>
      <c r="B28" s="34" t="inlineStr">
        <is>
          <t>DEP-1010</t>
        </is>
      </c>
      <c r="C28" s="34" t="inlineStr">
        <is>
          <t>Receipt - Virginia Transit Parts</t>
        </is>
      </c>
      <c r="D28" s="69" t="n">
        <v>6900</v>
      </c>
      <c r="E28" s="69" t="n">
        <v>0</v>
      </c>
      <c r="F28" s="69">
        <f>D28-E28</f>
        <v/>
      </c>
      <c r="G28" s="34">
        <f>TEXT(A28,"yyyymmdd")&amp;"|"&amp;TEXT(ROUND(ABS(F28),2),"0.00")</f>
        <v/>
      </c>
      <c r="H28" s="34">
        <f>COUNTIFS(Bank_Import!$G$5:$G$45,G28)</f>
        <v/>
      </c>
      <c r="I28" s="34">
        <f>IF(COUNTIFS($G$5:$G$45,G28)&gt;1,"Possible Duplicate",IF(H28=0,"Unmatched",IF(H28&gt;1,"Possible Duplicate","Matched")))</f>
        <v/>
      </c>
      <c r="J28" s="34" t="str"/>
    </row>
    <row r="29">
      <c r="A29" s="68" t="n">
        <v>46048</v>
      </c>
      <c r="B29" s="34" t="inlineStr">
        <is>
          <t>DEP-CARD</t>
        </is>
      </c>
      <c r="C29" s="34" t="inlineStr">
        <is>
          <t>Credit Card Merchant Batch</t>
        </is>
      </c>
      <c r="D29" s="69" t="n">
        <v>2480</v>
      </c>
      <c r="E29" s="69" t="n">
        <v>0</v>
      </c>
      <c r="F29" s="69">
        <f>D29-E29</f>
        <v/>
      </c>
      <c r="G29" s="34">
        <f>TEXT(A29,"yyyymmdd")&amp;"|"&amp;TEXT(ROUND(ABS(F29),2),"0.00")</f>
        <v/>
      </c>
      <c r="H29" s="34">
        <f>COUNTIFS(Bank_Import!$G$5:$G$45,G29)</f>
        <v/>
      </c>
      <c r="I29" s="34">
        <f>IF(COUNTIFS($G$5:$G$45,G29)&gt;1,"Possible Duplicate",IF(H29=0,"Unmatched",IF(H29&gt;1,"Possible Duplicate","Matched")))</f>
        <v/>
      </c>
      <c r="J29" s="34" t="str"/>
    </row>
    <row r="30">
      <c r="A30" s="68" t="n">
        <v>46049</v>
      </c>
      <c r="B30" s="34" t="inlineStr">
        <is>
          <t>BILLPAY-2207</t>
        </is>
      </c>
      <c r="C30" s="34" t="inlineStr">
        <is>
          <t>Payment - Skyline Janitorial</t>
        </is>
      </c>
      <c r="D30" s="69" t="n">
        <v>0</v>
      </c>
      <c r="E30" s="69" t="n">
        <v>685</v>
      </c>
      <c r="F30" s="69">
        <f>D30-E30</f>
        <v/>
      </c>
      <c r="G30" s="34">
        <f>TEXT(A30,"yyyymmdd")&amp;"|"&amp;TEXT(ROUND(ABS(F30),2),"0.00")</f>
        <v/>
      </c>
      <c r="H30" s="34">
        <f>COUNTIFS(Bank_Import!$G$5:$G$45,G30)</f>
        <v/>
      </c>
      <c r="I30" s="34">
        <f>IF(COUNTIFS($G$5:$G$45,G30)&gt;1,"Possible Duplicate",IF(H30=0,"Unmatched",IF(H30&gt;1,"Possible Duplicate","Matched")))</f>
        <v/>
      </c>
      <c r="J30" s="34" t="str"/>
    </row>
    <row r="31">
      <c r="A31" s="68" t="n">
        <v>46050</v>
      </c>
      <c r="B31" s="34" t="inlineStr">
        <is>
          <t>DEP-1011</t>
        </is>
      </c>
      <c r="C31" s="34" t="inlineStr">
        <is>
          <t>Receipt - Appalachian Retail</t>
        </is>
      </c>
      <c r="D31" s="69" t="n">
        <v>5640</v>
      </c>
      <c r="E31" s="69" t="n">
        <v>0</v>
      </c>
      <c r="F31" s="69">
        <f>D31-E31</f>
        <v/>
      </c>
      <c r="G31" s="34">
        <f>TEXT(A31,"yyyymmdd")&amp;"|"&amp;TEXT(ROUND(ABS(F31),2),"0.00")</f>
        <v/>
      </c>
      <c r="H31" s="34">
        <f>COUNTIFS(Bank_Import!$G$5:$G$45,G31)</f>
        <v/>
      </c>
      <c r="I31" s="34">
        <f>IF(COUNTIFS($G$5:$G$45,G31)&gt;1,"Possible Duplicate",IF(H31=0,"Unmatched",IF(H31&gt;1,"Possible Duplicate","Matched")))</f>
        <v/>
      </c>
      <c r="J31" s="34" t="str"/>
    </row>
    <row r="32">
      <c r="A32" s="68" t="n">
        <v>46051</v>
      </c>
      <c r="B32" s="34" t="inlineStr">
        <is>
          <t>BILLPAY-7003</t>
        </is>
      </c>
      <c r="C32" s="34" t="inlineStr">
        <is>
          <t>Payment - National Resin Co.</t>
        </is>
      </c>
      <c r="D32" s="69" t="n">
        <v>0</v>
      </c>
      <c r="E32" s="69" t="n">
        <v>6225</v>
      </c>
      <c r="F32" s="69">
        <f>D32-E32</f>
        <v/>
      </c>
      <c r="G32" s="34">
        <f>TEXT(A32,"yyyymmdd")&amp;"|"&amp;TEXT(ROUND(ABS(F32),2),"0.00")</f>
        <v/>
      </c>
      <c r="H32" s="34">
        <f>COUNTIFS(Bank_Import!$G$5:$G$45,G32)</f>
        <v/>
      </c>
      <c r="I32" s="34">
        <f>IF(COUNTIFS($G$5:$G$45,G32)&gt;1,"Possible Duplicate",IF(H32=0,"Unmatched",IF(H32&gt;1,"Possible Duplicate","Matched")))</f>
        <v/>
      </c>
      <c r="J32" s="34" t="str"/>
    </row>
    <row r="33">
      <c r="A33" s="68" t="n">
        <v>46052</v>
      </c>
      <c r="B33" s="34" t="inlineStr">
        <is>
          <t>DEP-1012</t>
        </is>
      </c>
      <c r="C33" s="34" t="inlineStr">
        <is>
          <t>Receipt - Chesapeake Fabricators</t>
        </is>
      </c>
      <c r="D33" s="69" t="n">
        <v>7800</v>
      </c>
      <c r="E33" s="69" t="n">
        <v>0</v>
      </c>
      <c r="F33" s="69">
        <f>D33-E33</f>
        <v/>
      </c>
      <c r="G33" s="34">
        <f>TEXT(A33,"yyyymmdd")&amp;"|"&amp;TEXT(ROUND(ABS(F33),2),"0.00")</f>
        <v/>
      </c>
      <c r="H33" s="34">
        <f>COUNTIFS(Bank_Import!$G$5:$G$45,G33)</f>
        <v/>
      </c>
      <c r="I33" s="34">
        <f>IF(COUNTIFS($G$5:$G$45,G33)&gt;1,"Possible Duplicate",IF(H33=0,"Unmatched",IF(H33&gt;1,"Possible Duplicate","Matched")))</f>
        <v/>
      </c>
      <c r="J33" s="34" t="str"/>
    </row>
    <row r="34">
      <c r="A34" s="68" t="n">
        <v>46053</v>
      </c>
      <c r="B34" s="34" t="inlineStr">
        <is>
          <t>PAYTAX-JAN</t>
        </is>
      </c>
      <c r="C34" s="34" t="inlineStr">
        <is>
          <t>Payroll Tax Payment</t>
        </is>
      </c>
      <c r="D34" s="69" t="n">
        <v>0</v>
      </c>
      <c r="E34" s="69" t="n">
        <v>7025</v>
      </c>
      <c r="F34" s="69">
        <f>D34-E34</f>
        <v/>
      </c>
      <c r="G34" s="34">
        <f>TEXT(A34,"yyyymmdd")&amp;"|"&amp;TEXT(ROUND(ABS(F34),2),"0.00")</f>
        <v/>
      </c>
      <c r="H34" s="34">
        <f>COUNTIFS(Bank_Import!$G$5:$G$45,G34)</f>
        <v/>
      </c>
      <c r="I34" s="34">
        <f>IF(COUNTIFS($G$5:$G$45,G34)&gt;1,"Possible Duplicate",IF(H34=0,"Unmatched",IF(H34&gt;1,"Possible Duplicate","Matched")))</f>
        <v/>
      </c>
      <c r="J34" s="34" t="str"/>
    </row>
    <row r="35">
      <c r="A35" s="68" t="n">
        <v>46053</v>
      </c>
      <c r="B35" s="34" t="inlineStr">
        <is>
          <t>DEP-1013</t>
        </is>
      </c>
      <c r="C35" s="34" t="inlineStr">
        <is>
          <t>Receipt - Late customer deposit</t>
        </is>
      </c>
      <c r="D35" s="69" t="n">
        <v>3250</v>
      </c>
      <c r="E35" s="69" t="n">
        <v>0</v>
      </c>
      <c r="F35" s="69">
        <f>D35-E35</f>
        <v/>
      </c>
      <c r="G35" s="34">
        <f>TEXT(A35,"yyyymmdd")&amp;"|"&amp;TEXT(ROUND(ABS(F35),2),"0.00")</f>
        <v/>
      </c>
      <c r="H35" s="34">
        <f>COUNTIFS(Bank_Import!$G$5:$G$45,G35)</f>
        <v/>
      </c>
      <c r="I35" s="34">
        <f>IF(COUNTIFS($G$5:$G$45,G35)&gt;1,"Possible Duplicate",IF(H35=0,"Unmatched",IF(H35&gt;1,"Possible Duplicate","Matched")))</f>
        <v/>
      </c>
      <c r="J35" s="34" t="inlineStr">
        <is>
          <t>Deposit in transit</t>
        </is>
      </c>
    </row>
    <row r="36">
      <c r="A36" s="68" t="n">
        <v>46053</v>
      </c>
      <c r="B36" s="34" t="inlineStr">
        <is>
          <t>BILLPAY-2208</t>
        </is>
      </c>
      <c r="C36" s="34" t="inlineStr">
        <is>
          <t>Payment - Blue Ridge Maintenance</t>
        </is>
      </c>
      <c r="D36" s="69" t="n">
        <v>0</v>
      </c>
      <c r="E36" s="69" t="n">
        <v>2780</v>
      </c>
      <c r="F36" s="69">
        <f>D36-E36</f>
        <v/>
      </c>
      <c r="G36" s="34">
        <f>TEXT(A36,"yyyymmdd")&amp;"|"&amp;TEXT(ROUND(ABS(F36),2),"0.00")</f>
        <v/>
      </c>
      <c r="H36" s="34">
        <f>COUNTIFS(Bank_Import!$G$5:$G$45,G36)</f>
        <v/>
      </c>
      <c r="I36" s="34">
        <f>IF(COUNTIFS($G$5:$G$45,G36)&gt;1,"Possible Duplicate",IF(H36=0,"Unmatched",IF(H36&gt;1,"Possible Duplicate","Matched")))</f>
        <v/>
      </c>
      <c r="J36" s="34" t="inlineStr">
        <is>
          <t>Outstanding check</t>
        </is>
      </c>
    </row>
    <row r="37">
      <c r="A37" s="68" t="n">
        <v>46024</v>
      </c>
      <c r="B37" s="34" t="inlineStr">
        <is>
          <t>DEP-1001-DUP</t>
        </is>
      </c>
      <c r="C37" s="34" t="inlineStr">
        <is>
          <t>Duplicate receipt - Blue Ridge Retail</t>
        </is>
      </c>
      <c r="D37" s="69" t="n">
        <v>4200</v>
      </c>
      <c r="E37" s="69" t="n">
        <v>0</v>
      </c>
      <c r="F37" s="69">
        <f>D37-E37</f>
        <v/>
      </c>
      <c r="G37" s="34">
        <f>TEXT(A37,"yyyymmdd")&amp;"|"&amp;TEXT(ROUND(ABS(F37),2),"0.00")</f>
        <v/>
      </c>
      <c r="H37" s="34">
        <f>COUNTIFS(Bank_Import!$G$5:$G$45,G37)</f>
        <v/>
      </c>
      <c r="I37" s="34">
        <f>IF(COUNTIFS($G$5:$G$45,G37)&gt;1,"Possible Duplicate",IF(H37=0,"Unmatched",IF(H37&gt;1,"Possible Duplicate","Matched")))</f>
        <v/>
      </c>
      <c r="J37" s="34" t="inlineStr">
        <is>
          <t>Duplicate entry to investigate</t>
        </is>
      </c>
    </row>
  </sheetData>
  <mergeCells count="2">
    <mergeCell ref="A1:J1"/>
    <mergeCell ref="A2:J2"/>
  </mergeCells>
  <conditionalFormatting sqref="I5:I500">
    <cfRule type="expression" priority="1" dxfId="0">
      <formula>$I5="Matched"</formula>
    </cfRule>
    <cfRule type="expression" priority="2" dxfId="1">
      <formula>$I5="Unmatched"</formula>
    </cfRule>
    <cfRule type="expression" priority="3" dxfId="2">
      <formula>$I5="Possible Duplicate"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5" customWidth="1" min="3" max="3"/>
  </cols>
  <sheetData>
    <row r="1" ht="28" customHeight="1">
      <c r="A1" s="9" t="inlineStr">
        <is>
          <t>Bank Reconciliation Summary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7" t="inlineStr">
        <is>
          <t>Complete this after reviewing Bank_Import and GL_Import.</t>
        </is>
      </c>
      <c r="B2" s="1" t="n"/>
      <c r="C2" s="1" t="n"/>
      <c r="D2" s="1" t="n"/>
      <c r="E2" s="1" t="n"/>
      <c r="F2" s="1" t="n"/>
      <c r="G2" s="1" t="n"/>
    </row>
    <row r="4" ht="24" customHeight="1">
      <c r="A4" s="22" t="inlineStr">
        <is>
          <t>Input / Formula</t>
        </is>
      </c>
      <c r="B4" s="22" t="inlineStr">
        <is>
          <t>Amount</t>
        </is>
      </c>
      <c r="C4" s="22" t="inlineStr">
        <is>
          <t>Student Explanation</t>
        </is>
      </c>
    </row>
    <row r="5">
      <c r="A5" s="46" t="inlineStr">
        <is>
          <t>Beginning Bank Balance</t>
        </is>
      </c>
      <c r="B5" s="69" t="n">
        <v>84250</v>
      </c>
      <c r="C5" s="34" t="str"/>
    </row>
    <row r="6">
      <c r="A6" s="46" t="inlineStr">
        <is>
          <t>Ending Bank Balance per Statement</t>
        </is>
      </c>
      <c r="B6" s="69">
        <f>B5+SUM(Bank_Import!F5:F36)</f>
        <v/>
      </c>
      <c r="C6" s="34" t="inlineStr">
        <is>
          <t>From bank statement activity</t>
        </is>
      </c>
    </row>
    <row r="7">
      <c r="A7" s="46" t="str"/>
      <c r="B7" s="69" t="str"/>
      <c r="C7" s="34" t="str"/>
    </row>
    <row r="8">
      <c r="A8" s="46" t="inlineStr">
        <is>
          <t>Add: Deposits in Transit (book receipts not on bank)</t>
        </is>
      </c>
      <c r="B8" s="69">
        <f>SUMIFS(GL_Import!D5:D45,GL_Import!I5:I45,"Unmatched",GL_Import!D5:D45,"&gt;0")</f>
        <v/>
      </c>
      <c r="C8" s="34" t="str"/>
    </row>
    <row r="9">
      <c r="A9" s="46" t="inlineStr">
        <is>
          <t>Less: Outstanding Checks/Payments (book payments not on bank)</t>
        </is>
      </c>
      <c r="B9" s="69">
        <f>SUMIFS(GL_Import!E5:E45,GL_Import!I5:I45,"Unmatched",GL_Import!E5:E45,"&gt;0")</f>
        <v/>
      </c>
      <c r="C9" s="34" t="str"/>
    </row>
    <row r="10">
      <c r="A10" s="48" t="inlineStr">
        <is>
          <t>Adjusted Bank Balance</t>
        </is>
      </c>
      <c r="B10" s="70">
        <f>B6+B8-B9</f>
        <v/>
      </c>
      <c r="C10" s="48" t="str"/>
    </row>
    <row r="11">
      <c r="A11" s="46" t="str"/>
      <c r="B11" s="69" t="str"/>
      <c r="C11" s="34" t="str"/>
    </row>
    <row r="12">
      <c r="A12" s="46" t="inlineStr">
        <is>
          <t>Beginning Book Cash Balance</t>
        </is>
      </c>
      <c r="B12" s="69" t="n">
        <v>84250</v>
      </c>
      <c r="C12" s="34" t="str"/>
    </row>
    <row r="13">
      <c r="A13" s="46" t="inlineStr">
        <is>
          <t>Ending Book Balance per GL</t>
        </is>
      </c>
      <c r="B13" s="69">
        <f>B12+SUM(GL_Import!F5:F45)</f>
        <v/>
      </c>
      <c r="C13" s="34" t="inlineStr">
        <is>
          <t>From GL cash activity</t>
        </is>
      </c>
    </row>
    <row r="14">
      <c r="A14" s="46" t="inlineStr">
        <is>
          <t>Add: Bank Deposits/Interest Not Recorded in Books</t>
        </is>
      </c>
      <c r="B14" s="69">
        <f>SUMIFS(Bank_Import!D5:D45,Bank_Import!I5:I45,"Unmatched",Bank_Import!D5:D45,"&gt;0")</f>
        <v/>
      </c>
      <c r="C14" s="34" t="str"/>
    </row>
    <row r="15">
      <c r="A15" s="46" t="inlineStr">
        <is>
          <t>Less: Bank Fees/Withdrawals Not Recorded in Books</t>
        </is>
      </c>
      <c r="B15" s="69">
        <f>SUMIFS(Bank_Import!E5:E45,Bank_Import!I5:I45,"Unmatched",Bank_Import!E5:E45,"&gt;0")</f>
        <v/>
      </c>
      <c r="C15" s="34" t="str"/>
    </row>
    <row r="16">
      <c r="A16" s="32" t="inlineStr">
        <is>
          <t>Less: Duplicate Book Entries confirmed in Difference_Log (+/-)</t>
        </is>
      </c>
      <c r="B16" s="71" t="n">
        <v>4200</v>
      </c>
      <c r="C16" s="1" t="inlineStr">
        <is>
          <t>Investigate rows flagged "Possible Duplicate" in GL_Import. Enter the total book overstatement from confirmed duplicates (sample data: DEP-1001-DUP, $4,200). Use a negative number only if books are understated.</t>
        </is>
      </c>
    </row>
    <row r="17">
      <c r="A17" s="46" t="inlineStr">
        <is>
          <t>Adjusted Book Balance</t>
        </is>
      </c>
      <c r="B17" s="69">
        <f>B13+B14-B15-B16</f>
        <v/>
      </c>
      <c r="C17" s="34" t="str"/>
    </row>
    <row r="18">
      <c r="A18" s="48" t="str"/>
      <c r="B18" s="70" t="str"/>
      <c r="C18" s="48" t="str"/>
    </row>
    <row r="19">
      <c r="A19" s="46" t="inlineStr">
        <is>
          <t>Reconciliation Difference</t>
        </is>
      </c>
      <c r="B19" s="69">
        <f>B10-B17</f>
        <v/>
      </c>
      <c r="C19" s="34" t="inlineStr">
        <is>
          <t>Should be zero after corrections.</t>
        </is>
      </c>
    </row>
    <row r="20">
      <c r="A20" s="46" t="n"/>
      <c r="B20" s="69" t="n"/>
      <c r="C20" s="34" t="n"/>
    </row>
    <row r="21">
      <c r="A21" s="54" t="n"/>
      <c r="B21" s="72" t="n"/>
      <c r="C21" s="54" t="n"/>
    </row>
  </sheetData>
  <mergeCells count="2">
    <mergeCell ref="A2:G2"/>
    <mergeCell ref="A1:G1"/>
  </mergeCells>
  <conditionalFormatting sqref="B20">
    <cfRule type="cellIs" priority="1" operator="notEqual" dxfId="6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24" customWidth="1" min="5" max="5"/>
    <col width="14" customWidth="1" min="6" max="6"/>
    <col width="45" customWidth="1" min="7" max="7"/>
  </cols>
  <sheetData>
    <row r="1" ht="28" customHeight="1">
      <c r="A1" s="9" t="inlineStr">
        <is>
          <t>Difference Log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7" t="inlineStr">
        <is>
          <t>Document each reconciling item and proposed correction.</t>
        </is>
      </c>
      <c r="B2" s="1" t="n"/>
      <c r="C2" s="1" t="n"/>
      <c r="D2" s="1" t="n"/>
      <c r="E2" s="1" t="n"/>
      <c r="F2" s="1" t="n"/>
      <c r="G2" s="1" t="n"/>
    </row>
    <row r="4" ht="24" customHeight="1">
      <c r="A4" s="22" t="inlineStr">
        <is>
          <t>Item #</t>
        </is>
      </c>
      <c r="B4" s="22" t="inlineStr">
        <is>
          <t>Source</t>
        </is>
      </c>
      <c r="C4" s="22" t="inlineStr">
        <is>
          <t>Date</t>
        </is>
      </c>
      <c r="D4" s="22" t="inlineStr">
        <is>
          <t>Reference</t>
        </is>
      </c>
      <c r="E4" s="22" t="inlineStr">
        <is>
          <t>Issue Type</t>
        </is>
      </c>
      <c r="F4" s="22" t="inlineStr">
        <is>
          <t>Amount</t>
        </is>
      </c>
      <c r="G4" s="22" t="inlineStr">
        <is>
          <t>Proposed Correction</t>
        </is>
      </c>
    </row>
    <row r="5">
      <c r="A5" t="n">
        <v>1</v>
      </c>
      <c r="C5" s="73" t="str"/>
      <c r="F5" s="74" t="str"/>
    </row>
    <row r="6">
      <c r="A6" t="n">
        <v>2</v>
      </c>
      <c r="C6" s="73" t="str"/>
      <c r="F6" s="74" t="str"/>
    </row>
    <row r="7">
      <c r="A7" t="n">
        <v>3</v>
      </c>
      <c r="C7" s="73" t="str"/>
      <c r="F7" s="74" t="str"/>
    </row>
    <row r="8">
      <c r="A8" t="n">
        <v>4</v>
      </c>
      <c r="C8" s="73" t="str"/>
      <c r="F8" s="74" t="str"/>
    </row>
    <row r="9">
      <c r="A9" t="n">
        <v>5</v>
      </c>
      <c r="C9" s="73" t="str"/>
      <c r="F9" s="74" t="str"/>
    </row>
    <row r="10">
      <c r="A10" t="n">
        <v>6</v>
      </c>
      <c r="C10" s="73" t="str"/>
      <c r="F10" s="74" t="str"/>
    </row>
    <row r="11">
      <c r="A11" t="n">
        <v>7</v>
      </c>
      <c r="C11" s="73" t="str"/>
      <c r="F11" s="74" t="str"/>
    </row>
    <row r="12">
      <c r="A12" t="n">
        <v>8</v>
      </c>
      <c r="C12" s="73" t="str"/>
      <c r="F12" s="74" t="str"/>
    </row>
    <row r="13">
      <c r="A13" t="n">
        <v>9</v>
      </c>
      <c r="C13" s="73" t="str"/>
      <c r="F13" s="74" t="str"/>
    </row>
    <row r="14">
      <c r="A14" t="n">
        <v>10</v>
      </c>
      <c r="C14" s="73" t="str"/>
      <c r="F14" s="74" t="str"/>
    </row>
    <row r="15">
      <c r="A15" t="n">
        <v>11</v>
      </c>
      <c r="C15" s="73" t="str"/>
      <c r="F15" s="74" t="str"/>
    </row>
    <row r="16">
      <c r="A16" t="n">
        <v>12</v>
      </c>
      <c r="C16" s="73" t="str"/>
      <c r="F16" s="74" t="str"/>
    </row>
    <row r="17">
      <c r="A17" t="n">
        <v>13</v>
      </c>
      <c r="C17" s="73" t="str"/>
      <c r="F17" s="74" t="str"/>
    </row>
    <row r="18">
      <c r="A18" t="n">
        <v>14</v>
      </c>
      <c r="C18" s="73" t="str"/>
      <c r="F18" s="74" t="str"/>
    </row>
    <row r="19">
      <c r="A19" t="n">
        <v>15</v>
      </c>
      <c r="C19" s="73" t="str"/>
      <c r="F19" s="74" t="str"/>
    </row>
  </sheetData>
  <mergeCells count="2">
    <mergeCell ref="A2:G2"/>
    <mergeCell ref="A1:G1"/>
  </mergeCells>
  <dataValidations count="1">
    <dataValidation sqref="E5:E19" showDropDown="0" showInputMessage="0" showErrorMessage="0" allowBlank="0" type="list">
      <formula1>"Missing in GL,Missing in Bank,Wrong Amount,Duplicate,Outstanding Check,Deposit in Transit,Other"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2026-07-15T18:49:42Z</dcterms:created>
  <dcterms:modified xmlns:dcterms="http://purl.org/dc/terms/" xmlns:xsi="http://www.w3.org/2001/XMLSchema-instance" xsi:type="dcterms:W3CDTF">2026-07-15T18:49:42Z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0x0101007FFCDA72B33F704B902DF05EFF11A127</vt:lpwstr>
  </property>
</Properties>
</file>