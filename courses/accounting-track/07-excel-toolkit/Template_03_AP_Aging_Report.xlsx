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1e9e52897f174414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e4553e7ccefb4409"/>
    <x:sheet xmlns:r="http://schemas.openxmlformats.org/officeDocument/2006/relationships" name="Vendor_Bills" sheetId="2" r:id="R4abe02ca41124c3e"/>
    <x:sheet xmlns:r="http://schemas.openxmlformats.org/officeDocument/2006/relationships" name="AP_Aging_Report" sheetId="3" r:id="Rfd140bb99c1e41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/dd/yyyy"/>
    <x:numFmt numFmtId="201" formatCode="$#,##0.00;[Red]($#,##0.00);-"/>
    <x:numFmt numFmtId="202" formatCode="#,##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4E78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EAF2F8"/>
      </x:patternFill>
    </x:fill>
    <x:fill>
      <x:patternFill patternType="solid">
        <x:fgColor rgb="FFD9EAD3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top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201" fontId="0" fillId="6" borderId="0" xfId="0" applyNumberFormat="1" applyFont="1" applyFill="1" applyBorder="1"/>
    <x:xf numFmtId="0" fontId="4" fillId="6" borderId="0" xfId="0" applyNumberFormat="1" applyFont="1" applyFill="1" applyBorder="1"/>
    <x:xf numFmtId="201" fontId="4" fillId="6" borderId="0" xfId="0" applyNumberFormat="1" applyFont="1" applyFill="1" applyBorder="1"/>
    <x:xf numFmtId="0" fontId="0" fillId="6" borderId="1" xfId="0" applyNumberFormat="1" applyFont="1" applyFill="1" applyBorder="1"/>
    <x:xf numFmtId="201" fontId="0" fillId="6" borderId="1" xfId="0" applyNumberFormat="1" applyFont="1" applyFill="1" applyBorder="1"/>
    <x:xf numFmtId="0" fontId="4" fillId="6" borderId="1" xfId="0" applyNumberFormat="1" applyFont="1" applyFill="1" applyBorder="1"/>
    <x:xf numFmtId="201" fontId="4" fillId="6" borderId="1" xfId="0" applyNumberFormat="1" applyFont="1" applyFill="1" applyBorder="1"/>
  </x:cellXfs>
  <x:cellStyles count="1">
    <x:cellStyle name="Normal" xfId="0"/>
  </x:cellStyles>
  <x:dxfs count="4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C65911"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3.xml"/><Relationship Id="rId2" Type="http://schemas.openxmlformats.org/officeDocument/2006/relationships/customXml" Target="../customXml/item2.xml"/><Relationship Id="R190f072fed954fff" Type="http://schemas.openxmlformats.org/officeDocument/2006/relationships/theme" Target="/xl/theme/theme1.xml"/><Relationship Id="rId1" Type="http://schemas.openxmlformats.org/officeDocument/2006/relationships/customXml" Target="../customXml/item1.xml"/><Relationship Id="R272da4108f7e42ce" Type="http://schemas.openxmlformats.org/officeDocument/2006/relationships/styles" Target="/xl/styles.xml"/><Relationship Id="R4abe02ca41124c3e" Type="http://schemas.openxmlformats.org/officeDocument/2006/relationships/worksheet" Target="/xl/worksheets/sheet2.xml"/><Relationship Id="Rfd140bb99c1e41d8" Type="http://schemas.openxmlformats.org/officeDocument/2006/relationships/worksheet" Target="/xl/worksheets/sheet3.xml"/><Relationship Id="Rd14bca7d7bd74b91" Type="http://schemas.openxmlformats.org/officeDocument/2006/relationships/sharedStrings" Target="/xl/sharedStrings.xml"/><Relationship Id="Re4553e7ccefb4409" Type="http://schemas.openxmlformats.org/officeDocument/2006/relationships/worksheet" Target="/xl/worksheets/sheet1.xml"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1f91646f2c04abb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Open AP</c:v>
          </c:tx>
          <c:cat>
            <c:strRef>
              <c:f>'AP_Aging_Report'!$A$9:$A$13</c:f>
              <c:strCache>
                <c:ptCount val="0"/>
              </c:strCache>
            </c:strRef>
          </c:cat>
          <c:val>
            <c:numRef>
              <c:f>'AP_Aging_Report'!$B$9:$B$13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16</xdr:row>
      <xdr:rowOff>0</xdr:rowOff>
    </xdr:from>
    <xdr:to>
      <xdr:col>10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1f91646f2c04ab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PBillTable" displayName="APBillTable" ref="A4:K32" headerRowCount="1">
  <x:tableColumns count="11">
    <x:tableColumn id="1" name="Vendor"/>
    <x:tableColumn id="2" name="Bill #"/>
    <x:tableColumn id="3" name="Bill Date"/>
    <x:tableColumn id="4" name="Terms Days"/>
    <x:tableColumn id="5" name="Due Date"/>
    <x:tableColumn id="6" name="Original Amount"/>
    <x:tableColumn id="7" name="Payments Made"/>
    <x:tableColumn id="8" name="Open Balance"/>
    <x:tableColumn id="9" name="Days Past Due"/>
    <x:tableColumn id="10" name="Aging Bucket"/>
    <x:tableColumn id="11" name="AP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d2afb43ff8a41a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66de6888b6674043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 ht="28" customHeight="1">
      <x:c r="A1" s="5" t="str">
        <x:v>AP Aging Report Template</x:v>
      </x:c>
    </x:row>
    <x:row r="2" ht="24" customHeight="1">
      <x:c r="A2" s="13" t="str">
        <x:v>Template for calculating vendor payables and aging buckets by bill.</x:v>
      </x:c>
    </x:row>
    <x:row r="4" ht="24" customHeight="1">
      <x:c r="A4" s="22" t="str">
        <x:v>Section</x:v>
      </x:c>
      <x:c r="B4" s="22" t="str">
        <x:v>Details</x:v>
      </x:c>
    </x:row>
    <x:row r="5">
      <x:c r="A5" s="30" t="str">
        <x:v>Purpose</x:v>
      </x:c>
      <x:c r="B5" s="35" t="str">
        <x:v>Template for calculating vendor payables and aging buckets by bill.</x:v>
      </x:c>
    </x:row>
    <x:row r="6">
      <x:c r="A6" s="30" t="str">
        <x:v>How to Use</x:v>
      </x:c>
      <x:c r="B6" s="35" t="str">
        <x:v>1. Update the As Of Date on the AP_Aging_Report sheet.
2. Enter vendor bills into Vendor_Bills.
3. Enter payments made against each bill.
4. Review open balances and aging buckets.
5. Use the Vendor Summary to plan which bills should be paid first.</x:v>
      </x:c>
    </x:row>
    <x:row r="7">
      <x:c r="A7" s="30" t="str">
        <x:v>Expected Output</x:v>
      </x:c>
      <x:c r="B7" s="35" t="str">
        <x:v>• Current, 1-30, 31-60, 61-90, and 90+ payable balances
• Open payable balance by vendor
• Payment priority for due and overdue bills</x:v>
      </x:c>
    </x:row>
    <x:row r="8">
      <x:c r="A8" s="30" t="str">
        <x:v>Student Rule</x:v>
      </x:c>
      <x:c r="B8" s="35" t="str">
        <x:v>Use the sample data first. Then replace the sample rows with your assigned company data. Do not overwrite formula cells unless your instructor tells you to.</x:v>
      </x:c>
    </x:row>
    <x:row r="9">
      <x:c r="A9" s="30" t="str">
        <x:v>Skarion Simulation</x:v>
      </x:c>
      <x:c r="B9" s="35" t="str">
        <x:v>These templates support the Skarion Manufacturing LLC accounting job simulation and can be used as student handouts.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2" hidden="0" customWidth="1"/>
    <x:col min="4" max="4" width="10" hidden="0" customWidth="1"/>
    <x:col min="5" max="5" width="12" hidden="0" customWidth="1"/>
    <x:col min="6" max="6" width="15" hidden="0" customWidth="1"/>
    <x:col min="7" max="7" width="16" hidden="0" customWidth="1"/>
    <x:col min="8" max="8" width="15" hidden="0" customWidth="1"/>
    <x:col min="9" max="9" width="13" hidden="0" customWidth="1"/>
    <x:col min="10" max="10" width="14" hidden="0" customWidth="1"/>
    <x:col min="11" max="11" width="35" hidden="0" customWidth="1"/>
  </x:cols>
  <x:sheetData>
    <x:row r="1" ht="28" customHeight="1">
      <x:c r="A1" s="5" t="str">
        <x:v>Vendor Bill Detail</x:v>
      </x:c>
    </x:row>
    <x:row r="2" ht="24" customHeight="1">
      <x:c r="A2" s="13" t="str">
        <x:v>Use this as the AP subledger input sheet.</x:v>
      </x:c>
    </x:row>
    <x:row r="4" ht="24" customHeight="1">
      <x:c r="A4" s="22" t="str">
        <x:v>Vendor</x:v>
      </x:c>
      <x:c r="B4" s="22" t="str">
        <x:v>Bill #</x:v>
      </x:c>
      <x:c r="C4" s="22" t="str">
        <x:v>Bill Date</x:v>
      </x:c>
      <x:c r="D4" s="22" t="str">
        <x:v>Terms Days</x:v>
      </x:c>
      <x:c r="E4" s="22" t="str">
        <x:v>Due Date</x:v>
      </x:c>
      <x:c r="F4" s="22" t="str">
        <x:v>Original Amount</x:v>
      </x:c>
      <x:c r="G4" s="22" t="str">
        <x:v>Payments Made</x:v>
      </x:c>
      <x:c r="H4" s="22" t="str">
        <x:v>Open Balance</x:v>
      </x:c>
      <x:c r="I4" s="22" t="str">
        <x:v>Days Past Due</x:v>
      </x:c>
      <x:c r="J4" s="22" t="str">
        <x:v>Aging Bucket</x:v>
      </x:c>
      <x:c r="K4" s="22" t="str">
        <x:v>AP Notes</x:v>
      </x:c>
    </x:row>
    <x:row r="5">
      <x:c r="A5" s="34" t="str">
        <x:v>Dominion Materials LLC</x:v>
      </x:c>
      <x:c r="B5" s="34" t="str">
        <x:v>BILL-4101</x:v>
      </x:c>
      <x:c r="C5" s="44" t="n">
        <x:v>46027</x:v>
      </x:c>
      <x:c r="D5" s="34" t="n">
        <x:v>30</x:v>
      </x:c>
      <x:c r="E5" s="44" t="n">
        <x:f>C5+D5</x:f>
        <x:v>46057</x:v>
      </x:c>
      <x:c r="F5" s="45" t="n">
        <x:v>8425.5</x:v>
      </x:c>
      <x:c r="G5" s="45" t="n">
        <x:v>8425.5</x:v>
      </x:c>
      <x:c r="H5" s="45" t="n">
        <x:f>MAX(0,F5-G5)</x:f>
        <x:v>0</x:v>
      </x:c>
      <x:c r="I5" s="46" t="n">
        <x:f>IF(H5=0,0,MAX(0,AP_Aging_Report!$B$4-E5))</x:f>
        <x:v>0</x:v>
      </x:c>
      <x:c r="J5" s="34" t="str">
        <x:f>IF(H5=0,"Paid",IF(I5=0,"Current",IF(I5&lt;=30,"1-30",IF(I5&lt;=60,"31-60",IF(I5&lt;=90,"61-90","90+")))))</x:f>
        <x:v>Paid</x:v>
      </x:c>
      <x:c r="K5" s="34" t="str"/>
    </x:row>
    <x:row r="6">
      <x:c r="A6" s="34" t="str">
        <x:v>Atlantic Steel Supply</x:v>
      </x:c>
      <x:c r="B6" s="34" t="str">
        <x:v>BILL-4102</x:v>
      </x:c>
      <x:c r="C6" s="44" t="n">
        <x:v>46034</x:v>
      </x:c>
      <x:c r="D6" s="34" t="n">
        <x:v>30</x:v>
      </x:c>
      <x:c r="E6" s="44" t="n">
        <x:f>C6+D6</x:f>
        <x:v>46064</x:v>
      </x:c>
      <x:c r="F6" s="45" t="n">
        <x:v>12800</x:v>
      </x:c>
      <x:c r="G6" s="45" t="n">
        <x:v>6000</x:v>
      </x:c>
      <x:c r="H6" s="45" t="n">
        <x:f>MAX(0,F6-G6)</x:f>
        <x:v>6800</x:v>
      </x:c>
      <x:c r="I6" s="46" t="n">
        <x:f>IF(H6=0,0,MAX(0,AP_Aging_Report!$B$4-E6))</x:f>
        <x:v>48</x:v>
      </x:c>
      <x:c r="J6" s="34" t="str">
        <x:f>IF(H6=0,"Paid",IF(I6=0,"Current",IF(I6&lt;=30,"1-30",IF(I6&lt;=60,"31-60",IF(I6&lt;=90,"61-90","90+")))))</x:f>
        <x:v>31-60</x:v>
      </x:c>
      <x:c r="K6" s="34" t="str"/>
    </x:row>
    <x:row r="7">
      <x:c r="A7" s="34" t="str">
        <x:v>Piedmont Packaging Co.</x:v>
      </x:c>
      <x:c r="B7" s="34" t="str">
        <x:v>BILL-4103</x:v>
      </x:c>
      <x:c r="C7" s="44" t="n">
        <x:v>46040</x:v>
      </x:c>
      <x:c r="D7" s="34" t="n">
        <x:v>15</x:v>
      </x:c>
      <x:c r="E7" s="44" t="n">
        <x:f>C7+D7</x:f>
        <x:v>46055</x:v>
      </x:c>
      <x:c r="F7" s="45" t="n">
        <x:v>2190</x:v>
      </x:c>
      <x:c r="G7" s="45" t="n">
        <x:v>2190</x:v>
      </x:c>
      <x:c r="H7" s="45" t="n">
        <x:f>MAX(0,F7-G7)</x:f>
        <x:v>0</x:v>
      </x:c>
      <x:c r="I7" s="46" t="n">
        <x:f>IF(H7=0,0,MAX(0,AP_Aging_Report!$B$4-E7))</x:f>
        <x:v>0</x:v>
      </x:c>
      <x:c r="J7" s="34" t="str">
        <x:f>IF(H7=0,"Paid",IF(I7=0,"Current",IF(I7&lt;=30,"1-30",IF(I7&lt;=60,"31-60",IF(I7&lt;=90,"61-90","90+")))))</x:f>
        <x:v>Paid</x:v>
      </x:c>
      <x:c r="K7" s="34" t="str"/>
    </x:row>
    <x:row r="8">
      <x:c r="A8" s="34" t="str">
        <x:v>Ridgeway Freight Services</x:v>
      </x:c>
      <x:c r="B8" s="34" t="str">
        <x:v>BILL-4104</x:v>
      </x:c>
      <x:c r="C8" s="44" t="n">
        <x:v>46044</x:v>
      </x:c>
      <x:c r="D8" s="34" t="n">
        <x:v>30</x:v>
      </x:c>
      <x:c r="E8" s="44" t="n">
        <x:f>C8+D8</x:f>
        <x:v>46074</x:v>
      </x:c>
      <x:c r="F8" s="45" t="n">
        <x:v>1885.25</x:v>
      </x:c>
      <x:c r="G8" s="45" t="n">
        <x:v>0</x:v>
      </x:c>
      <x:c r="H8" s="45" t="n">
        <x:f>MAX(0,F8-G8)</x:f>
        <x:v>1885.25</x:v>
      </x:c>
      <x:c r="I8" s="46" t="n">
        <x:f>IF(H8=0,0,MAX(0,AP_Aging_Report!$B$4-E8))</x:f>
        <x:v>38</x:v>
      </x:c>
      <x:c r="J8" s="34" t="str">
        <x:f>IF(H8=0,"Paid",IF(I8=0,"Current",IF(I8&lt;=30,"1-30",IF(I8&lt;=60,"31-60",IF(I8&lt;=90,"61-90","90+")))))</x:f>
        <x:v>31-60</x:v>
      </x:c>
      <x:c r="K8" s="34" t="str"/>
    </x:row>
    <x:row r="9">
      <x:c r="A9" s="34" t="str">
        <x:v>BlueLine Labels</x:v>
      </x:c>
      <x:c r="B9" s="34" t="str">
        <x:v>BILL-4105</x:v>
      </x:c>
      <x:c r="C9" s="44" t="n">
        <x:v>46049</x:v>
      </x:c>
      <x:c r="D9" s="34" t="n">
        <x:v>30</x:v>
      </x:c>
      <x:c r="E9" s="44" t="n">
        <x:f>C9+D9</x:f>
        <x:v>46079</x:v>
      </x:c>
      <x:c r="F9" s="45" t="n">
        <x:v>990</x:v>
      </x:c>
      <x:c r="G9" s="45" t="n">
        <x:v>0</x:v>
      </x:c>
      <x:c r="H9" s="45" t="n">
        <x:f>MAX(0,F9-G9)</x:f>
        <x:v>990</x:v>
      </x:c>
      <x:c r="I9" s="46" t="n">
        <x:f>IF(H9=0,0,MAX(0,AP_Aging_Report!$B$4-E9))</x:f>
        <x:v>33</x:v>
      </x:c>
      <x:c r="J9" s="34" t="str">
        <x:f>IF(H9=0,"Paid",IF(I9=0,"Current",IF(I9&lt;=30,"1-30",IF(I9&lt;=60,"31-60",IF(I9&lt;=90,"61-90","90+")))))</x:f>
        <x:v>31-60</x:v>
      </x:c>
      <x:c r="K9" s="34" t="str"/>
    </x:row>
    <x:row r="10">
      <x:c r="A10" s="34" t="str">
        <x:v>National Resin Co.</x:v>
      </x:c>
      <x:c r="B10" s="34" t="str">
        <x:v>BILL-4106</x:v>
      </x:c>
      <x:c r="C10" s="44" t="n">
        <x:v>46054</x:v>
      </x:c>
      <x:c r="D10" s="34" t="n">
        <x:v>30</x:v>
      </x:c>
      <x:c r="E10" s="44" t="n">
        <x:f>C10+D10</x:f>
        <x:v>46084</x:v>
      </x:c>
      <x:c r="F10" s="45" t="n">
        <x:v>6225</x:v>
      </x:c>
      <x:c r="G10" s="45" t="n">
        <x:v>0</x:v>
      </x:c>
      <x:c r="H10" s="45" t="n">
        <x:f>MAX(0,F10-G10)</x:f>
        <x:v>6225</x:v>
      </x:c>
      <x:c r="I10" s="46" t="n">
        <x:f>IF(H10=0,0,MAX(0,AP_Aging_Report!$B$4-E10))</x:f>
        <x:v>28</x:v>
      </x:c>
      <x:c r="J10" s="34" t="str">
        <x:f>IF(H10=0,"Paid",IF(I10=0,"Current",IF(I10&lt;=30,"1-30",IF(I10&lt;=60,"31-60",IF(I10&lt;=90,"61-90","90+")))))</x:f>
        <x:v>1-30</x:v>
      </x:c>
      <x:c r="K10" s="34" t="str"/>
    </x:row>
    <x:row r="11">
      <x:c r="A11" s="34" t="str">
        <x:v>SafetyFirst Supplies</x:v>
      </x:c>
      <x:c r="B11" s="34" t="str">
        <x:v>BILL-4107</x:v>
      </x:c>
      <x:c r="C11" s="44" t="n">
        <x:v>46056</x:v>
      </x:c>
      <x:c r="D11" s="34" t="n">
        <x:v>15</x:v>
      </x:c>
      <x:c r="E11" s="44" t="n">
        <x:f>C11+D11</x:f>
        <x:v>46071</x:v>
      </x:c>
      <x:c r="F11" s="45" t="n">
        <x:v>1250</x:v>
      </x:c>
      <x:c r="G11" s="45" t="n">
        <x:v>0</x:v>
      </x:c>
      <x:c r="H11" s="45" t="n">
        <x:f>MAX(0,F11-G11)</x:f>
        <x:v>1250</x:v>
      </x:c>
      <x:c r="I11" s="46" t="n">
        <x:f>IF(H11=0,0,MAX(0,AP_Aging_Report!$B$4-E11))</x:f>
        <x:v>41</x:v>
      </x:c>
      <x:c r="J11" s="34" t="str">
        <x:f>IF(H11=0,"Paid",IF(I11=0,"Current",IF(I11&lt;=30,"1-30",IF(I11&lt;=60,"31-60",IF(I11&lt;=90,"61-90","90+")))))</x:f>
        <x:v>31-60</x:v>
      </x:c>
      <x:c r="K11" s="34" t="str"/>
    </x:row>
    <x:row r="12">
      <x:c r="A12" s="34" t="str">
        <x:v>Capital Machinery Leasing</x:v>
      </x:c>
      <x:c r="B12" s="34" t="str">
        <x:v>BILL-4108</x:v>
      </x:c>
      <x:c r="C12" s="44" t="n">
        <x:v>46059</x:v>
      </x:c>
      <x:c r="D12" s="34" t="n">
        <x:v>30</x:v>
      </x:c>
      <x:c r="E12" s="44" t="n">
        <x:f>C12+D12</x:f>
        <x:v>46089</x:v>
      </x:c>
      <x:c r="F12" s="45" t="n">
        <x:v>4160</x:v>
      </x:c>
      <x:c r="G12" s="45" t="n">
        <x:v>4160</x:v>
      </x:c>
      <x:c r="H12" s="45" t="n">
        <x:f>MAX(0,F12-G12)</x:f>
        <x:v>0</x:v>
      </x:c>
      <x:c r="I12" s="46" t="n">
        <x:f>IF(H12=0,0,MAX(0,AP_Aging_Report!$B$4-E12))</x:f>
        <x:v>0</x:v>
      </x:c>
      <x:c r="J12" s="34" t="str">
        <x:f>IF(H12=0,"Paid",IF(I12=0,"Current",IF(I12&lt;=30,"1-30",IF(I12&lt;=60,"31-60",IF(I12&lt;=90,"61-90","90+")))))</x:f>
        <x:v>Paid</x:v>
      </x:c>
      <x:c r="K12" s="34" t="str"/>
    </x:row>
    <x:row r="13">
      <x:c r="A13" s="34" t="str">
        <x:v>Virginia Office Supply</x:v>
      </x:c>
      <x:c r="B13" s="34" t="str">
        <x:v>BILL-4109</x:v>
      </x:c>
      <x:c r="C13" s="44" t="n">
        <x:v>46062</x:v>
      </x:c>
      <x:c r="D13" s="34" t="n">
        <x:v>30</x:v>
      </x:c>
      <x:c r="E13" s="44" t="n">
        <x:f>C13+D13</x:f>
        <x:v>46092</x:v>
      </x:c>
      <x:c r="F13" s="45" t="n">
        <x:v>745.9</x:v>
      </x:c>
      <x:c r="G13" s="45" t="n">
        <x:v>0</x:v>
      </x:c>
      <x:c r="H13" s="45" t="n">
        <x:f>MAX(0,F13-G13)</x:f>
        <x:v>745.9</x:v>
      </x:c>
      <x:c r="I13" s="46" t="n">
        <x:f>IF(H13=0,0,MAX(0,AP_Aging_Report!$B$4-E13))</x:f>
        <x:v>20</x:v>
      </x:c>
      <x:c r="J13" s="34" t="str">
        <x:f>IF(H13=0,"Paid",IF(I13=0,"Current",IF(I13&lt;=30,"1-30",IF(I13&lt;=60,"31-60",IF(I13&lt;=90,"61-90","90+")))))</x:f>
        <x:v>1-30</x:v>
      </x:c>
      <x:c r="K13" s="34" t="str"/>
    </x:row>
    <x:row r="14">
      <x:c r="A14" s="34" t="str">
        <x:v>Skyline Janitorial</x:v>
      </x:c>
      <x:c r="B14" s="34" t="str">
        <x:v>BILL-4110</x:v>
      </x:c>
      <x:c r="C14" s="44" t="n">
        <x:v>46064</x:v>
      </x:c>
      <x:c r="D14" s="34" t="n">
        <x:v>15</x:v>
      </x:c>
      <x:c r="E14" s="44" t="n">
        <x:f>C14+D14</x:f>
        <x:v>46079</x:v>
      </x:c>
      <x:c r="F14" s="45" t="n">
        <x:v>685</x:v>
      </x:c>
      <x:c r="G14" s="45" t="n">
        <x:v>0</x:v>
      </x:c>
      <x:c r="H14" s="45" t="n">
        <x:f>MAX(0,F14-G14)</x:f>
        <x:v>685</x:v>
      </x:c>
      <x:c r="I14" s="46" t="n">
        <x:f>IF(H14=0,0,MAX(0,AP_Aging_Report!$B$4-E14))</x:f>
        <x:v>33</x:v>
      </x:c>
      <x:c r="J14" s="34" t="str">
        <x:f>IF(H14=0,"Paid",IF(I14=0,"Current",IF(I14&lt;=30,"1-30",IF(I14&lt;=60,"31-60",IF(I14&lt;=90,"61-90","90+")))))</x:f>
        <x:v>31-60</x:v>
      </x:c>
      <x:c r="K14" s="34" t="str"/>
    </x:row>
    <x:row r="15">
      <x:c r="A15" s="34" t="str">
        <x:v>Fairfax Industrial Park</x:v>
      </x:c>
      <x:c r="B15" s="34" t="str">
        <x:v>BILL-4111</x:v>
      </x:c>
      <x:c r="C15" s="44" t="n">
        <x:v>46068</x:v>
      </x:c>
      <x:c r="D15" s="34" t="n">
        <x:v>0</x:v>
      </x:c>
      <x:c r="E15" s="44" t="n">
        <x:f>C15+D15</x:f>
        <x:v>46068</x:v>
      </x:c>
      <x:c r="F15" s="45" t="n">
        <x:v>8750</x:v>
      </x:c>
      <x:c r="G15" s="45" t="n">
        <x:v>8750</x:v>
      </x:c>
      <x:c r="H15" s="45" t="n">
        <x:f>MAX(0,F15-G15)</x:f>
        <x:v>0</x:v>
      </x:c>
      <x:c r="I15" s="46" t="n">
        <x:f>IF(H15=0,0,MAX(0,AP_Aging_Report!$B$4-E15))</x:f>
        <x:v>0</x:v>
      </x:c>
      <x:c r="J15" s="34" t="str">
        <x:f>IF(H15=0,"Paid",IF(I15=0,"Current",IF(I15&lt;=30,"1-30",IF(I15&lt;=60,"31-60",IF(I15&lt;=90,"61-90","90+")))))</x:f>
        <x:v>Paid</x:v>
      </x:c>
      <x:c r="K15" s="34" t="str"/>
    </x:row>
    <x:row r="16">
      <x:c r="A16" s="34" t="str">
        <x:v>Dominion Energy</x:v>
      </x:c>
      <x:c r="B16" s="34" t="str">
        <x:v>BILL-4112</x:v>
      </x:c>
      <x:c r="C16" s="44" t="n">
        <x:v>46072</x:v>
      </x:c>
      <x:c r="D16" s="34" t="n">
        <x:v>15</x:v>
      </x:c>
      <x:c r="E16" s="44" t="n">
        <x:f>C16+D16</x:f>
        <x:v>46087</x:v>
      </x:c>
      <x:c r="F16" s="45" t="n">
        <x:v>1280.75</x:v>
      </x:c>
      <x:c r="G16" s="45" t="n">
        <x:v>0</x:v>
      </x:c>
      <x:c r="H16" s="45" t="n">
        <x:f>MAX(0,F16-G16)</x:f>
        <x:v>1280.75</x:v>
      </x:c>
      <x:c r="I16" s="46" t="n">
        <x:f>IF(H16=0,0,MAX(0,AP_Aging_Report!$B$4-E16))</x:f>
        <x:v>25</x:v>
      </x:c>
      <x:c r="J16" s="34" t="str">
        <x:f>IF(H16=0,"Paid",IF(I16=0,"Current",IF(I16&lt;=30,"1-30",IF(I16&lt;=60,"31-60",IF(I16&lt;=90,"61-90","90+")))))</x:f>
        <x:v>1-30</x:v>
      </x:c>
      <x:c r="K16" s="34" t="str"/>
    </x:row>
    <x:row r="17">
      <x:c r="A17" s="34" t="str">
        <x:v>Hampton Roads Insurance</x:v>
      </x:c>
      <x:c r="B17" s="34" t="str">
        <x:v>BILL-4113</x:v>
      </x:c>
      <x:c r="C17" s="44" t="n">
        <x:v>46074</x:v>
      </x:c>
      <x:c r="D17" s="34" t="n">
        <x:v>30</x:v>
      </x:c>
      <x:c r="E17" s="44" t="n">
        <x:f>C17+D17</x:f>
        <x:v>46104</x:v>
      </x:c>
      <x:c r="F17" s="45" t="n">
        <x:v>1950</x:v>
      </x:c>
      <x:c r="G17" s="45" t="n">
        <x:v>0</x:v>
      </x:c>
      <x:c r="H17" s="45" t="n">
        <x:f>MAX(0,F17-G17)</x:f>
        <x:v>1950</x:v>
      </x:c>
      <x:c r="I17" s="46" t="n">
        <x:f>IF(H17=0,0,MAX(0,AP_Aging_Report!$B$4-E17))</x:f>
        <x:v>8</x:v>
      </x:c>
      <x:c r="J17" s="34" t="str">
        <x:f>IF(H17=0,"Paid",IF(I17=0,"Current",IF(I17&lt;=30,"1-30",IF(I17&lt;=60,"31-60",IF(I17&lt;=90,"61-90","90+")))))</x:f>
        <x:v>1-30</x:v>
      </x:c>
      <x:c r="K17" s="34" t="str"/>
    </x:row>
    <x:row r="18">
      <x:c r="A18" s="34" t="str">
        <x:v>QuickBooks Payroll</x:v>
      </x:c>
      <x:c r="B18" s="34" t="str">
        <x:v>BILL-4114</x:v>
      </x:c>
      <x:c r="C18" s="44" t="n">
        <x:v>46081</x:v>
      </x:c>
      <x:c r="D18" s="34" t="n">
        <x:v>0</x:v>
      </x:c>
      <x:c r="E18" s="44" t="n">
        <x:f>C18+D18</x:f>
        <x:v>46081</x:v>
      </x:c>
      <x:c r="F18" s="45" t="n">
        <x:v>348</x:v>
      </x:c>
      <x:c r="G18" s="45" t="n">
        <x:v>348</x:v>
      </x:c>
      <x:c r="H18" s="45" t="n">
        <x:f>MAX(0,F18-G18)</x:f>
        <x:v>0</x:v>
      </x:c>
      <x:c r="I18" s="46" t="n">
        <x:f>IF(H18=0,0,MAX(0,AP_Aging_Report!$B$4-E18))</x:f>
        <x:v>0</x:v>
      </x:c>
      <x:c r="J18" s="34" t="str">
        <x:f>IF(H18=0,"Paid",IF(I18=0,"Current",IF(I18&lt;=30,"1-30",IF(I18&lt;=60,"31-60",IF(I18&lt;=90,"61-90","90+")))))</x:f>
        <x:v>Paid</x:v>
      </x:c>
      <x:c r="K18" s="34" t="str"/>
    </x:row>
    <x:row r="19">
      <x:c r="A19" s="34" t="str">
        <x:v>Dominion Materials LLC</x:v>
      </x:c>
      <x:c r="B19" s="34" t="str">
        <x:v>BILL-4115</x:v>
      </x:c>
      <x:c r="C19" s="44" t="n">
        <x:v>46082</x:v>
      </x:c>
      <x:c r="D19" s="34" t="n">
        <x:v>30</x:v>
      </x:c>
      <x:c r="E19" s="44" t="n">
        <x:f>C19+D19</x:f>
        <x:v>46112</x:v>
      </x:c>
      <x:c r="F19" s="45" t="n">
        <x:v>9750</x:v>
      </x:c>
      <x:c r="G19" s="45" t="n">
        <x:v>0</x:v>
      </x:c>
      <x:c r="H19" s="45" t="n">
        <x:f>MAX(0,F19-G19)</x:f>
        <x:v>9750</x:v>
      </x:c>
      <x:c r="I19" s="46" t="n">
        <x:f>IF(H19=0,0,MAX(0,AP_Aging_Report!$B$4-E19))</x:f>
        <x:v>0</x:v>
      </x:c>
      <x:c r="J19" s="34" t="str">
        <x:f>IF(H19=0,"Paid",IF(I19=0,"Current",IF(I19&lt;=30,"1-30",IF(I19&lt;=60,"31-60",IF(I19&lt;=90,"61-90","90+")))))</x:f>
        <x:v>Current</x:v>
      </x:c>
      <x:c r="K19" s="34" t="str"/>
    </x:row>
    <x:row r="20">
      <x:c r="A20" s="34" t="str">
        <x:v>Atlantic Steel Supply</x:v>
      </x:c>
      <x:c r="B20" s="34" t="str">
        <x:v>BILL-4116</x:v>
      </x:c>
      <x:c r="C20" s="44" t="n">
        <x:v>46084</x:v>
      </x:c>
      <x:c r="D20" s="34" t="n">
        <x:v>30</x:v>
      </x:c>
      <x:c r="E20" s="44" t="n">
        <x:f>C20+D20</x:f>
        <x:v>46114</x:v>
      </x:c>
      <x:c r="F20" s="45" t="n">
        <x:v>11800</x:v>
      </x:c>
      <x:c r="G20" s="45" t="n">
        <x:v>0</x:v>
      </x:c>
      <x:c r="H20" s="45" t="n">
        <x:f>MAX(0,F20-G20)</x:f>
        <x:v>11800</x:v>
      </x:c>
      <x:c r="I20" s="46" t="n">
        <x:f>IF(H20=0,0,MAX(0,AP_Aging_Report!$B$4-E20))</x:f>
        <x:v>0</x:v>
      </x:c>
      <x:c r="J20" s="34" t="str">
        <x:f>IF(H20=0,"Paid",IF(I20=0,"Current",IF(I20&lt;=30,"1-30",IF(I20&lt;=60,"31-60",IF(I20&lt;=90,"61-90","90+")))))</x:f>
        <x:v>Current</x:v>
      </x:c>
      <x:c r="K20" s="34" t="str"/>
    </x:row>
    <x:row r="21">
      <x:c r="A21" s="34" t="str">
        <x:v>Piedmont Packaging Co.</x:v>
      </x:c>
      <x:c r="B21" s="34" t="str">
        <x:v>BILL-4117</x:v>
      </x:c>
      <x:c r="C21" s="44" t="n">
        <x:v>46086</x:v>
      </x:c>
      <x:c r="D21" s="34" t="n">
        <x:v>15</x:v>
      </x:c>
      <x:c r="E21" s="44" t="n">
        <x:f>C21+D21</x:f>
        <x:v>46101</x:v>
      </x:c>
      <x:c r="F21" s="45" t="n">
        <x:v>2495</x:v>
      </x:c>
      <x:c r="G21" s="45" t="n">
        <x:v>0</x:v>
      </x:c>
      <x:c r="H21" s="45" t="n">
        <x:f>MAX(0,F21-G21)</x:f>
        <x:v>2495</x:v>
      </x:c>
      <x:c r="I21" s="46" t="n">
        <x:f>IF(H21=0,0,MAX(0,AP_Aging_Report!$B$4-E21))</x:f>
        <x:v>11</x:v>
      </x:c>
      <x:c r="J21" s="34" t="str">
        <x:f>IF(H21=0,"Paid",IF(I21=0,"Current",IF(I21&lt;=30,"1-30",IF(I21&lt;=60,"31-60",IF(I21&lt;=90,"61-90","90+")))))</x:f>
        <x:v>1-30</x:v>
      </x:c>
      <x:c r="K21" s="34" t="str"/>
    </x:row>
    <x:row r="22">
      <x:c r="A22" s="34" t="str">
        <x:v>Ridgeway Freight Services</x:v>
      </x:c>
      <x:c r="B22" s="34" t="str">
        <x:v>BILL-4118</x:v>
      </x:c>
      <x:c r="C22" s="44" t="n">
        <x:v>46088</x:v>
      </x:c>
      <x:c r="D22" s="34" t="n">
        <x:v>30</x:v>
      </x:c>
      <x:c r="E22" s="44" t="n">
        <x:f>C22+D22</x:f>
        <x:v>46118</x:v>
      </x:c>
      <x:c r="F22" s="45" t="n">
        <x:v>2050</x:v>
      </x:c>
      <x:c r="G22" s="45" t="n">
        <x:v>0</x:v>
      </x:c>
      <x:c r="H22" s="45" t="n">
        <x:f>MAX(0,F22-G22)</x:f>
        <x:v>2050</x:v>
      </x:c>
      <x:c r="I22" s="46" t="n">
        <x:f>IF(H22=0,0,MAX(0,AP_Aging_Report!$B$4-E22))</x:f>
        <x:v>0</x:v>
      </x:c>
      <x:c r="J22" s="34" t="str">
        <x:f>IF(H22=0,"Paid",IF(I22=0,"Current",IF(I22&lt;=30,"1-30",IF(I22&lt;=60,"31-60",IF(I22&lt;=90,"61-90","90+")))))</x:f>
        <x:v>Current</x:v>
      </x:c>
      <x:c r="K22" s="34" t="str"/>
    </x:row>
    <x:row r="23">
      <x:c r="A23" s="34" t="str">
        <x:v>BlueLine Labels</x:v>
      </x:c>
      <x:c r="B23" s="34" t="str">
        <x:v>BILL-4119</x:v>
      </x:c>
      <x:c r="C23" s="44" t="n">
        <x:v>46090</x:v>
      </x:c>
      <x:c r="D23" s="34" t="n">
        <x:v>30</x:v>
      </x:c>
      <x:c r="E23" s="44" t="n">
        <x:f>C23+D23</x:f>
        <x:v>46120</x:v>
      </x:c>
      <x:c r="F23" s="45" t="n">
        <x:v>1240</x:v>
      </x:c>
      <x:c r="G23" s="45" t="n">
        <x:v>0</x:v>
      </x:c>
      <x:c r="H23" s="45" t="n">
        <x:f>MAX(0,F23-G23)</x:f>
        <x:v>1240</x:v>
      </x:c>
      <x:c r="I23" s="46" t="n">
        <x:f>IF(H23=0,0,MAX(0,AP_Aging_Report!$B$4-E23))</x:f>
        <x:v>0</x:v>
      </x:c>
      <x:c r="J23" s="34" t="str">
        <x:f>IF(H23=0,"Paid",IF(I23=0,"Current",IF(I23&lt;=30,"1-30",IF(I23&lt;=60,"31-60",IF(I23&lt;=90,"61-90","90+")))))</x:f>
        <x:v>Current</x:v>
      </x:c>
      <x:c r="K23" s="34" t="str"/>
    </x:row>
    <x:row r="24">
      <x:c r="A24" s="34" t="str">
        <x:v>National Resin Co.</x:v>
      </x:c>
      <x:c r="B24" s="34" t="str">
        <x:v>BILL-4120</x:v>
      </x:c>
      <x:c r="C24" s="44" t="n">
        <x:v>46092</x:v>
      </x:c>
      <x:c r="D24" s="34" t="n">
        <x:v>30</x:v>
      </x:c>
      <x:c r="E24" s="44" t="n">
        <x:f>C24+D24</x:f>
        <x:v>46122</x:v>
      </x:c>
      <x:c r="F24" s="45" t="n">
        <x:v>7100</x:v>
      </x:c>
      <x:c r="G24" s="45" t="n">
        <x:v>0</x:v>
      </x:c>
      <x:c r="H24" s="45" t="n">
        <x:f>MAX(0,F24-G24)</x:f>
        <x:v>7100</x:v>
      </x:c>
      <x:c r="I24" s="46" t="n">
        <x:f>IF(H24=0,0,MAX(0,AP_Aging_Report!$B$4-E24))</x:f>
        <x:v>0</x:v>
      </x:c>
      <x:c r="J24" s="34" t="str">
        <x:f>IF(H24=0,"Paid",IF(I24=0,"Current",IF(I24&lt;=30,"1-30",IF(I24&lt;=60,"31-60",IF(I24&lt;=90,"61-90","90+")))))</x:f>
        <x:v>Current</x:v>
      </x:c>
      <x:c r="K24" s="34" t="str"/>
    </x:row>
    <x:row r="25">
      <x:c r="A25" s="34" t="str">
        <x:v>SafetyFirst Supplies</x:v>
      </x:c>
      <x:c r="B25" s="34" t="str">
        <x:v>BILL-4121</x:v>
      </x:c>
      <x:c r="C25" s="44" t="n">
        <x:v>46094</x:v>
      </x:c>
      <x:c r="D25" s="34" t="n">
        <x:v>15</x:v>
      </x:c>
      <x:c r="E25" s="44" t="n">
        <x:f>C25+D25</x:f>
        <x:v>46109</x:v>
      </x:c>
      <x:c r="F25" s="45" t="n">
        <x:v>1430</x:v>
      </x:c>
      <x:c r="G25" s="45" t="n">
        <x:v>0</x:v>
      </x:c>
      <x:c r="H25" s="45" t="n">
        <x:f>MAX(0,F25-G25)</x:f>
        <x:v>1430</x:v>
      </x:c>
      <x:c r="I25" s="46" t="n">
        <x:f>IF(H25=0,0,MAX(0,AP_Aging_Report!$B$4-E25))</x:f>
        <x:v>3</x:v>
      </x:c>
      <x:c r="J25" s="34" t="str">
        <x:f>IF(H25=0,"Paid",IF(I25=0,"Current",IF(I25&lt;=30,"1-30",IF(I25&lt;=60,"31-60",IF(I25&lt;=90,"61-90","90+")))))</x:f>
        <x:v>1-30</x:v>
      </x:c>
      <x:c r="K25" s="34" t="str"/>
    </x:row>
    <x:row r="26">
      <x:c r="A26" s="34" t="str">
        <x:v>Blue Ridge Maintenance</x:v>
      </x:c>
      <x:c r="B26" s="34" t="str">
        <x:v>BILL-4122</x:v>
      </x:c>
      <x:c r="C26" s="44" t="n">
        <x:v>46095</x:v>
      </x:c>
      <x:c r="D26" s="34" t="n">
        <x:v>30</x:v>
      </x:c>
      <x:c r="E26" s="44" t="n">
        <x:f>C26+D26</x:f>
        <x:v>46125</x:v>
      </x:c>
      <x:c r="F26" s="45" t="n">
        <x:v>2780</x:v>
      </x:c>
      <x:c r="G26" s="45" t="n">
        <x:v>0</x:v>
      </x:c>
      <x:c r="H26" s="45" t="n">
        <x:f>MAX(0,F26-G26)</x:f>
        <x:v>2780</x:v>
      </x:c>
      <x:c r="I26" s="46" t="n">
        <x:f>IF(H26=0,0,MAX(0,AP_Aging_Report!$B$4-E26))</x:f>
        <x:v>0</x:v>
      </x:c>
      <x:c r="J26" s="34" t="str">
        <x:f>IF(H26=0,"Paid",IF(I26=0,"Current",IF(I26&lt;=30,"1-30",IF(I26&lt;=60,"31-60",IF(I26&lt;=90,"61-90","90+")))))</x:f>
        <x:v>Current</x:v>
      </x:c>
      <x:c r="K26" s="34" t="str"/>
    </x:row>
    <x:row r="27">
      <x:c r="A27" s="34" t="str">
        <x:v>Fairfax Industrial Park</x:v>
      </x:c>
      <x:c r="B27" s="34" t="str">
        <x:v>BILL-4123</x:v>
      </x:c>
      <x:c r="C27" s="44" t="n">
        <x:v>46096</x:v>
      </x:c>
      <x:c r="D27" s="34" t="n">
        <x:v>0</x:v>
      </x:c>
      <x:c r="E27" s="44" t="n">
        <x:f>C27+D27</x:f>
        <x:v>46096</x:v>
      </x:c>
      <x:c r="F27" s="45" t="n">
        <x:v>8750</x:v>
      </x:c>
      <x:c r="G27" s="45" t="n">
        <x:v>8750</x:v>
      </x:c>
      <x:c r="H27" s="45" t="n">
        <x:f>MAX(0,F27-G27)</x:f>
        <x:v>0</x:v>
      </x:c>
      <x:c r="I27" s="46" t="n">
        <x:f>IF(H27=0,0,MAX(0,AP_Aging_Report!$B$4-E27))</x:f>
        <x:v>0</x:v>
      </x:c>
      <x:c r="J27" s="34" t="str">
        <x:f>IF(H27=0,"Paid",IF(I27=0,"Current",IF(I27&lt;=30,"1-30",IF(I27&lt;=60,"31-60",IF(I27&lt;=90,"61-90","90+")))))</x:f>
        <x:v>Paid</x:v>
      </x:c>
      <x:c r="K27" s="34" t="str"/>
    </x:row>
    <x:row r="28">
      <x:c r="A28" s="34" t="str">
        <x:v>Dominion Energy</x:v>
      </x:c>
      <x:c r="B28" s="34" t="str">
        <x:v>BILL-4124</x:v>
      </x:c>
      <x:c r="C28" s="44" t="n">
        <x:v>46099</x:v>
      </x:c>
      <x:c r="D28" s="34" t="n">
        <x:v>15</x:v>
      </x:c>
      <x:c r="E28" s="44" t="n">
        <x:f>C28+D28</x:f>
        <x:v>46114</x:v>
      </x:c>
      <x:c r="F28" s="45" t="n">
        <x:v>1395</x:v>
      </x:c>
      <x:c r="G28" s="45" t="n">
        <x:v>0</x:v>
      </x:c>
      <x:c r="H28" s="45" t="n">
        <x:f>MAX(0,F28-G28)</x:f>
        <x:v>1395</x:v>
      </x:c>
      <x:c r="I28" s="46" t="n">
        <x:f>IF(H28=0,0,MAX(0,AP_Aging_Report!$B$4-E28))</x:f>
        <x:v>0</x:v>
      </x:c>
      <x:c r="J28" s="34" t="str">
        <x:f>IF(H28=0,"Paid",IF(I28=0,"Current",IF(I28&lt;=30,"1-30",IF(I28&lt;=60,"31-60",IF(I28&lt;=90,"61-90","90+")))))</x:f>
        <x:v>Current</x:v>
      </x:c>
      <x:c r="K28" s="34" t="str"/>
    </x:row>
    <x:row r="29">
      <x:c r="A29" s="34" t="str">
        <x:v>Hampton Roads Insurance</x:v>
      </x:c>
      <x:c r="B29" s="34" t="str">
        <x:v>BILL-4125</x:v>
      </x:c>
      <x:c r="C29" s="44" t="n">
        <x:v>46102</x:v>
      </x:c>
      <x:c r="D29" s="34" t="n">
        <x:v>30</x:v>
      </x:c>
      <x:c r="E29" s="44" t="n">
        <x:f>C29+D29</x:f>
        <x:v>46132</x:v>
      </x:c>
      <x:c r="F29" s="45" t="n">
        <x:v>1950</x:v>
      </x:c>
      <x:c r="G29" s="45" t="n">
        <x:v>0</x:v>
      </x:c>
      <x:c r="H29" s="45" t="n">
        <x:f>MAX(0,F29-G29)</x:f>
        <x:v>1950</x:v>
      </x:c>
      <x:c r="I29" s="46" t="n">
        <x:f>IF(H29=0,0,MAX(0,AP_Aging_Report!$B$4-E29))</x:f>
        <x:v>0</x:v>
      </x:c>
      <x:c r="J29" s="34" t="str">
        <x:f>IF(H29=0,"Paid",IF(I29=0,"Current",IF(I29&lt;=30,"1-30",IF(I29&lt;=60,"31-60",IF(I29&lt;=90,"61-90","90+")))))</x:f>
        <x:v>Current</x:v>
      </x:c>
      <x:c r="K29" s="34" t="str"/>
    </x:row>
    <x:row r="30">
      <x:c r="A30" s="34" t="str">
        <x:v>QuickBooks Payroll</x:v>
      </x:c>
      <x:c r="B30" s="34" t="str">
        <x:v>BILL-4126</x:v>
      </x:c>
      <x:c r="C30" s="44" t="n">
        <x:v>46109</x:v>
      </x:c>
      <x:c r="D30" s="34" t="n">
        <x:v>0</x:v>
      </x:c>
      <x:c r="E30" s="44" t="n">
        <x:f>C30+D30</x:f>
        <x:v>46109</x:v>
      </x:c>
      <x:c r="F30" s="45" t="n">
        <x:v>348</x:v>
      </x:c>
      <x:c r="G30" s="45" t="n">
        <x:v>348</x:v>
      </x:c>
      <x:c r="H30" s="45" t="n">
        <x:f>MAX(0,F30-G30)</x:f>
        <x:v>0</x:v>
      </x:c>
      <x:c r="I30" s="46" t="n">
        <x:f>IF(H30=0,0,MAX(0,AP_Aging_Report!$B$4-E30))</x:f>
        <x:v>0</x:v>
      </x:c>
      <x:c r="J30" s="34" t="str">
        <x:f>IF(H30=0,"Paid",IF(I30=0,"Current",IF(I30&lt;=30,"1-30",IF(I30&lt;=60,"31-60",IF(I30&lt;=90,"61-90","90+")))))</x:f>
        <x:v>Paid</x:v>
      </x:c>
      <x:c r="K30" s="34" t="str"/>
    </x:row>
    <x:row r="31">
      <x:c r="A31" s="34" t="str">
        <x:v>Richmond Tax Advisors</x:v>
      </x:c>
      <x:c r="B31" s="34" t="str">
        <x:v>BILL-4127</x:v>
      </x:c>
      <x:c r="C31" s="44" t="n">
        <x:v>46110</x:v>
      </x:c>
      <x:c r="D31" s="34" t="n">
        <x:v>30</x:v>
      </x:c>
      <x:c r="E31" s="44" t="n">
        <x:f>C31+D31</x:f>
        <x:v>46140</x:v>
      </x:c>
      <x:c r="F31" s="45" t="n">
        <x:v>2400</x:v>
      </x:c>
      <x:c r="G31" s="45" t="n">
        <x:v>0</x:v>
      </x:c>
      <x:c r="H31" s="45" t="n">
        <x:f>MAX(0,F31-G31)</x:f>
        <x:v>2400</x:v>
      </x:c>
      <x:c r="I31" s="46" t="n">
        <x:f>IF(H31=0,0,MAX(0,AP_Aging_Report!$B$4-E31))</x:f>
        <x:v>0</x:v>
      </x:c>
      <x:c r="J31" s="34" t="str">
        <x:f>IF(H31=0,"Paid",IF(I31=0,"Current",IF(I31&lt;=30,"1-30",IF(I31&lt;=60,"31-60",IF(I31&lt;=90,"61-90","90+")))))</x:f>
        <x:v>Current</x:v>
      </x:c>
      <x:c r="K31" s="34" t="str"/>
    </x:row>
    <x:row r="32">
      <x:c r="A32" s="34" t="str">
        <x:v>DataSafe Cloud Backup</x:v>
      </x:c>
      <x:c r="B32" s="34" t="str">
        <x:v>BILL-4128</x:v>
      </x:c>
      <x:c r="C32" s="44" t="n">
        <x:v>46111</x:v>
      </x:c>
      <x:c r="D32" s="34" t="n">
        <x:v>0</x:v>
      </x:c>
      <x:c r="E32" s="44" t="n">
        <x:f>C32+D32</x:f>
        <x:v>46111</x:v>
      </x:c>
      <x:c r="F32" s="45" t="n">
        <x:v>425</x:v>
      </x:c>
      <x:c r="G32" s="45" t="n">
        <x:v>425</x:v>
      </x:c>
      <x:c r="H32" s="45" t="n">
        <x:f>MAX(0,F32-G32)</x:f>
        <x:v>0</x:v>
      </x:c>
      <x:c r="I32" s="46" t="n">
        <x:f>IF(H32=0,0,MAX(0,AP_Aging_Report!$B$4-E32))</x:f>
        <x:v>0</x:v>
      </x:c>
      <x:c r="J32" s="34" t="str">
        <x:f>IF(H32=0,"Paid",IF(I32=0,"Current",IF(I32&lt;=30,"1-30",IF(I32&lt;=60,"31-60",IF(I32&lt;=90,"61-90","90+")))))</x:f>
        <x:v>Paid</x:v>
      </x:c>
      <x:c r="K32" s="34" t="str"/>
    </x:row>
  </x:sheetData>
  <x:mergeCells>
    <x:mergeCell ref="A1:K1"/>
    <x:mergeCell ref="A2:K2"/>
  </x:mergeCells>
  <x:conditionalFormatting sqref="J5:J32">
    <x:cfRule type="expression" dxfId="0" priority="1">
      <x:formula>J5="90+"</x:formula>
    </x:cfRule>
    <x:cfRule type="expression" dxfId="1" priority="2">
      <x:formula>J5="61-90"</x:formula>
    </x:cfRule>
    <x:cfRule type="expression" dxfId="2" priority="3">
      <x:formula>J5="31-60"</x:formula>
    </x:cfRule>
    <x:cfRule type="expression" dxfId="3" priority="4">
      <x:formula>J5="Current"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d2afb43ff8a41a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4" max="4" width="2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28" customHeight="1">
      <x:c r="A1" s="5" t="str">
        <x:v>AP Aging Report</x:v>
      </x:c>
    </x:row>
    <x:row r="2" ht="24" customHeight="1">
      <x:c r="A2" s="13" t="str">
        <x:v>Open vendor payables by aging bucket.</x:v>
      </x:c>
    </x:row>
    <x:row r="4">
      <x:c r="A4" s="29" t="str">
        <x:v>As Of Date</x:v>
      </x:c>
      <x:c r="B4" s="38" t="n">
        <x:v>46112</x:v>
      </x:c>
    </x:row>
    <x:row r="5">
      <x:c r="A5" s="29" t="str">
        <x:v>Prepared By</x:v>
      </x:c>
      <x:c r="B5" t="str">
        <x:v>Student</x:v>
      </x:c>
    </x:row>
    <x:row r="8" ht="24" customHeight="1">
      <x:c r="A8" s="22" t="str">
        <x:v>Aging Bucket</x:v>
      </x:c>
      <x:c r="B8" s="22" t="str">
        <x:v>Amount</x:v>
      </x:c>
      <x:c r="D8" s="22" t="str">
        <x:v>Vendor</x:v>
      </x:c>
      <x:c r="E8" s="22" t="str">
        <x:v>Current</x:v>
      </x:c>
      <x:c r="F8" s="22" t="str">
        <x:v>1-30</x:v>
      </x:c>
      <x:c r="G8" s="22" t="str">
        <x:v>31-60</x:v>
      </x:c>
      <x:c r="H8" s="22" t="str">
        <x:v>61-90</x:v>
      </x:c>
      <x:c r="I8" s="22" t="str">
        <x:v>90+</x:v>
      </x:c>
      <x:c r="J8" s="22" t="str">
        <x:v>Total</x:v>
      </x:c>
    </x:row>
    <x:row r="9">
      <x:c r="A9" t="str">
        <x:v>Current</x:v>
      </x:c>
      <x:c r="B9" s="40" t="n">
        <x:f>SUMIFS(Vendor_Bills!$H$5:$H$32,Vendor_Bills!$J$5:$J$32,A9)</x:f>
        <x:v>40465</x:v>
      </x:c>
      <x:c r="D9" t="str">
        <x:v>Atlantic Steel Supply</x:v>
      </x:c>
      <x:c r="E9" s="40" t="n">
        <x:f>SUMIFS(Vendor_Bills!$H$5:$H$32,Vendor_Bills!$A$5:$A$32,$D9,Vendor_Bills!$J$5:$J$32,E$8)</x:f>
        <x:v>11800</x:v>
      </x:c>
      <x:c r="F9" s="40" t="n">
        <x:f>SUMIFS(Vendor_Bills!$H$5:$H$32,Vendor_Bills!$A$5:$A$32,$D9,Vendor_Bills!$J$5:$J$32,F$8)</x:f>
        <x:v>0</x:v>
      </x:c>
      <x:c r="G9" s="40" t="n">
        <x:f>SUMIFS(Vendor_Bills!$H$5:$H$32,Vendor_Bills!$A$5:$A$32,$D9,Vendor_Bills!$J$5:$J$32,G$8)</x:f>
        <x:v>6800</x:v>
      </x:c>
      <x:c r="H9" s="40" t="n">
        <x:f>SUMIFS(Vendor_Bills!$H$5:$H$32,Vendor_Bills!$A$5:$A$32,$D9,Vendor_Bills!$J$5:$J$32,H$8)</x:f>
        <x:v>0</x:v>
      </x:c>
      <x:c r="I9" s="40" t="n">
        <x:f>SUMIFS(Vendor_Bills!$H$5:$H$32,Vendor_Bills!$A$5:$A$32,$D9,Vendor_Bills!$J$5:$J$32,I$8)</x:f>
        <x:v>0</x:v>
      </x:c>
      <x:c r="J9" s="40" t="n">
        <x:f>SUM(E9:I9)</x:f>
        <x:v>18600</x:v>
      </x:c>
    </x:row>
    <x:row r="10">
      <x:c r="A10" t="str">
        <x:v>1-30</x:v>
      </x:c>
      <x:c r="B10" s="40" t="n">
        <x:f>SUMIFS(Vendor_Bills!$H$5:$H$32,Vendor_Bills!$J$5:$J$32,A10)</x:f>
        <x:v>14126.65</x:v>
      </x:c>
      <x:c r="D10" t="str">
        <x:v>Blue Ridge Maintenance</x:v>
      </x:c>
      <x:c r="E10" s="40" t="n">
        <x:f>SUMIFS(Vendor_Bills!$H$5:$H$32,Vendor_Bills!$A$5:$A$32,$D10,Vendor_Bills!$J$5:$J$32,E$8)</x:f>
        <x:v>2780</x:v>
      </x:c>
      <x:c r="F10" s="40" t="n">
        <x:f>SUMIFS(Vendor_Bills!$H$5:$H$32,Vendor_Bills!$A$5:$A$32,$D10,Vendor_Bills!$J$5:$J$32,F$8)</x:f>
        <x:v>0</x:v>
      </x:c>
      <x:c r="G10" s="40" t="n">
        <x:f>SUMIFS(Vendor_Bills!$H$5:$H$32,Vendor_Bills!$A$5:$A$32,$D10,Vendor_Bills!$J$5:$J$32,G$8)</x:f>
        <x:v>0</x:v>
      </x:c>
      <x:c r="H10" s="40" t="n">
        <x:f>SUMIFS(Vendor_Bills!$H$5:$H$32,Vendor_Bills!$A$5:$A$32,$D10,Vendor_Bills!$J$5:$J$32,H$8)</x:f>
        <x:v>0</x:v>
      </x:c>
      <x:c r="I10" s="40" t="n">
        <x:f>SUMIFS(Vendor_Bills!$H$5:$H$32,Vendor_Bills!$A$5:$A$32,$D10,Vendor_Bills!$J$5:$J$32,I$8)</x:f>
        <x:v>0</x:v>
      </x:c>
      <x:c r="J10" s="40" t="n">
        <x:f>SUM(E10:I10)</x:f>
        <x:v>2780</x:v>
      </x:c>
    </x:row>
    <x:row r="11">
      <x:c r="A11" t="str">
        <x:v>31-60</x:v>
      </x:c>
      <x:c r="B11" s="40" t="n">
        <x:f>SUMIFS(Vendor_Bills!$H$5:$H$32,Vendor_Bills!$J$5:$J$32,A11)</x:f>
        <x:v>11610.25</x:v>
      </x:c>
      <x:c r="D11" t="str">
        <x:v>BlueLine Labels</x:v>
      </x:c>
      <x:c r="E11" s="40" t="n">
        <x:f>SUMIFS(Vendor_Bills!$H$5:$H$32,Vendor_Bills!$A$5:$A$32,$D11,Vendor_Bills!$J$5:$J$32,E$8)</x:f>
        <x:v>1240</x:v>
      </x:c>
      <x:c r="F11" s="40" t="n">
        <x:f>SUMIFS(Vendor_Bills!$H$5:$H$32,Vendor_Bills!$A$5:$A$32,$D11,Vendor_Bills!$J$5:$J$32,F$8)</x:f>
        <x:v>0</x:v>
      </x:c>
      <x:c r="G11" s="40" t="n">
        <x:f>SUMIFS(Vendor_Bills!$H$5:$H$32,Vendor_Bills!$A$5:$A$32,$D11,Vendor_Bills!$J$5:$J$32,G$8)</x:f>
        <x:v>990</x:v>
      </x:c>
      <x:c r="H11" s="40" t="n">
        <x:f>SUMIFS(Vendor_Bills!$H$5:$H$32,Vendor_Bills!$A$5:$A$32,$D11,Vendor_Bills!$J$5:$J$32,H$8)</x:f>
        <x:v>0</x:v>
      </x:c>
      <x:c r="I11" s="40" t="n">
        <x:f>SUMIFS(Vendor_Bills!$H$5:$H$32,Vendor_Bills!$A$5:$A$32,$D11,Vendor_Bills!$J$5:$J$32,I$8)</x:f>
        <x:v>0</x:v>
      </x:c>
      <x:c r="J11" s="40" t="n">
        <x:f>SUM(E11:I11)</x:f>
        <x:v>2230</x:v>
      </x:c>
    </x:row>
    <x:row r="12">
      <x:c r="A12" t="str">
        <x:v>61-90</x:v>
      </x:c>
      <x:c r="B12" s="40" t="n">
        <x:f>SUMIFS(Vendor_Bills!$H$5:$H$32,Vendor_Bills!$J$5:$J$32,A12)</x:f>
        <x:v>0</x:v>
      </x:c>
      <x:c r="D12" t="str">
        <x:v>Capital Machinery Leasing</x:v>
      </x:c>
      <x:c r="E12" s="40" t="n">
        <x:f>SUMIFS(Vendor_Bills!$H$5:$H$32,Vendor_Bills!$A$5:$A$32,$D12,Vendor_Bills!$J$5:$J$32,E$8)</x:f>
        <x:v>0</x:v>
      </x:c>
      <x:c r="F12" s="40" t="n">
        <x:f>SUMIFS(Vendor_Bills!$H$5:$H$32,Vendor_Bills!$A$5:$A$32,$D12,Vendor_Bills!$J$5:$J$32,F$8)</x:f>
        <x:v>0</x:v>
      </x:c>
      <x:c r="G12" s="40" t="n">
        <x:f>SUMIFS(Vendor_Bills!$H$5:$H$32,Vendor_Bills!$A$5:$A$32,$D12,Vendor_Bills!$J$5:$J$32,G$8)</x:f>
        <x:v>0</x:v>
      </x:c>
      <x:c r="H12" s="40" t="n">
        <x:f>SUMIFS(Vendor_Bills!$H$5:$H$32,Vendor_Bills!$A$5:$A$32,$D12,Vendor_Bills!$J$5:$J$32,H$8)</x:f>
        <x:v>0</x:v>
      </x:c>
      <x:c r="I12" s="40" t="n">
        <x:f>SUMIFS(Vendor_Bills!$H$5:$H$32,Vendor_Bills!$A$5:$A$32,$D12,Vendor_Bills!$J$5:$J$32,I$8)</x:f>
        <x:v>0</x:v>
      </x:c>
      <x:c r="J12" s="40" t="n">
        <x:f>SUM(E12:I12)</x:f>
        <x:v>0</x:v>
      </x:c>
    </x:row>
    <x:row r="13">
      <x:c r="A13" t="str">
        <x:v>90+</x:v>
      </x:c>
      <x:c r="B13" s="40" t="n">
        <x:f>SUMIFS(Vendor_Bills!$H$5:$H$32,Vendor_Bills!$J$5:$J$32,A13)</x:f>
        <x:v>0</x:v>
      </x:c>
      <x:c r="D13" t="str">
        <x:v>DataSafe Cloud Backup</x:v>
      </x:c>
      <x:c r="E13" s="40" t="n">
        <x:f>SUMIFS(Vendor_Bills!$H$5:$H$32,Vendor_Bills!$A$5:$A$32,$D13,Vendor_Bills!$J$5:$J$32,E$8)</x:f>
        <x:v>0</x:v>
      </x:c>
      <x:c r="F13" s="40" t="n">
        <x:f>SUMIFS(Vendor_Bills!$H$5:$H$32,Vendor_Bills!$A$5:$A$32,$D13,Vendor_Bills!$J$5:$J$32,F$8)</x:f>
        <x:v>0</x:v>
      </x:c>
      <x:c r="G13" s="40" t="n">
        <x:f>SUMIFS(Vendor_Bills!$H$5:$H$32,Vendor_Bills!$A$5:$A$32,$D13,Vendor_Bills!$J$5:$J$32,G$8)</x:f>
        <x:v>0</x:v>
      </x:c>
      <x:c r="H13" s="40" t="n">
        <x:f>SUMIFS(Vendor_Bills!$H$5:$H$32,Vendor_Bills!$A$5:$A$32,$D13,Vendor_Bills!$J$5:$J$32,H$8)</x:f>
        <x:v>0</x:v>
      </x:c>
      <x:c r="I13" s="40" t="n">
        <x:f>SUMIFS(Vendor_Bills!$H$5:$H$32,Vendor_Bills!$A$5:$A$32,$D13,Vendor_Bills!$J$5:$J$32,I$8)</x:f>
        <x:v>0</x:v>
      </x:c>
      <x:c r="J13" s="40" t="n">
        <x:f>SUM(E13:I13)</x:f>
        <x:v>0</x:v>
      </x:c>
    </x:row>
    <x:row r="14">
      <x:c r="A14" s="52" t="str">
        <x:v>Total Open AP</x:v>
      </x:c>
      <x:c r="B14" s="53" t="n">
        <x:f>SUM(B9:B13)</x:f>
        <x:v>66201.9</x:v>
      </x:c>
      <x:c r="D14" t="str">
        <x:v>Dominion Energy</x:v>
      </x:c>
      <x:c r="E14" s="40" t="n">
        <x:f>SUMIFS(Vendor_Bills!$H$5:$H$32,Vendor_Bills!$A$5:$A$32,$D14,Vendor_Bills!$J$5:$J$32,E$8)</x:f>
        <x:v>1395</x:v>
      </x:c>
      <x:c r="F14" s="40" t="n">
        <x:f>SUMIFS(Vendor_Bills!$H$5:$H$32,Vendor_Bills!$A$5:$A$32,$D14,Vendor_Bills!$J$5:$J$32,F$8)</x:f>
        <x:v>1280.75</x:v>
      </x:c>
      <x:c r="G14" s="40" t="n">
        <x:f>SUMIFS(Vendor_Bills!$H$5:$H$32,Vendor_Bills!$A$5:$A$32,$D14,Vendor_Bills!$J$5:$J$32,G$8)</x:f>
        <x:v>0</x:v>
      </x:c>
      <x:c r="H14" s="40" t="n">
        <x:f>SUMIFS(Vendor_Bills!$H$5:$H$32,Vendor_Bills!$A$5:$A$32,$D14,Vendor_Bills!$J$5:$J$32,H$8)</x:f>
        <x:v>0</x:v>
      </x:c>
      <x:c r="I14" s="40" t="n">
        <x:f>SUMIFS(Vendor_Bills!$H$5:$H$32,Vendor_Bills!$A$5:$A$32,$D14,Vendor_Bills!$J$5:$J$32,I$8)</x:f>
        <x:v>0</x:v>
      </x:c>
      <x:c r="J14" s="40" t="n">
        <x:f>SUM(E14:I14)</x:f>
        <x:v>2675.75</x:v>
      </x:c>
    </x:row>
    <x:row r="15">
      <x:c r="D15" t="str">
        <x:v>Dominion Materials LLC</x:v>
      </x:c>
      <x:c r="E15" s="40" t="n">
        <x:f>SUMIFS(Vendor_Bills!$H$5:$H$32,Vendor_Bills!$A$5:$A$32,$D15,Vendor_Bills!$J$5:$J$32,E$8)</x:f>
        <x:v>9750</x:v>
      </x:c>
      <x:c r="F15" s="40" t="n">
        <x:f>SUMIFS(Vendor_Bills!$H$5:$H$32,Vendor_Bills!$A$5:$A$32,$D15,Vendor_Bills!$J$5:$J$32,F$8)</x:f>
        <x:v>0</x:v>
      </x:c>
      <x:c r="G15" s="40" t="n">
        <x:f>SUMIFS(Vendor_Bills!$H$5:$H$32,Vendor_Bills!$A$5:$A$32,$D15,Vendor_Bills!$J$5:$J$32,G$8)</x:f>
        <x:v>0</x:v>
      </x:c>
      <x:c r="H15" s="40" t="n">
        <x:f>SUMIFS(Vendor_Bills!$H$5:$H$32,Vendor_Bills!$A$5:$A$32,$D15,Vendor_Bills!$J$5:$J$32,H$8)</x:f>
        <x:v>0</x:v>
      </x:c>
      <x:c r="I15" s="40" t="n">
        <x:f>SUMIFS(Vendor_Bills!$H$5:$H$32,Vendor_Bills!$A$5:$A$32,$D15,Vendor_Bills!$J$5:$J$32,I$8)</x:f>
        <x:v>0</x:v>
      </x:c>
      <x:c r="J15" s="40" t="n">
        <x:f>SUM(E15:I15)</x:f>
        <x:v>9750</x:v>
      </x:c>
    </x:row>
    <x:row r="16">
      <x:c r="D16" t="str">
        <x:v>Fairfax Industrial Park</x:v>
      </x:c>
      <x:c r="E16" s="40" t="n">
        <x:f>SUMIFS(Vendor_Bills!$H$5:$H$32,Vendor_Bills!$A$5:$A$32,$D16,Vendor_Bills!$J$5:$J$32,E$8)</x:f>
        <x:v>0</x:v>
      </x:c>
      <x:c r="F16" s="40" t="n">
        <x:f>SUMIFS(Vendor_Bills!$H$5:$H$32,Vendor_Bills!$A$5:$A$32,$D16,Vendor_Bills!$J$5:$J$32,F$8)</x:f>
        <x:v>0</x:v>
      </x:c>
      <x:c r="G16" s="40" t="n">
        <x:f>SUMIFS(Vendor_Bills!$H$5:$H$32,Vendor_Bills!$A$5:$A$32,$D16,Vendor_Bills!$J$5:$J$32,G$8)</x:f>
        <x:v>0</x:v>
      </x:c>
      <x:c r="H16" s="40" t="n">
        <x:f>SUMIFS(Vendor_Bills!$H$5:$H$32,Vendor_Bills!$A$5:$A$32,$D16,Vendor_Bills!$J$5:$J$32,H$8)</x:f>
        <x:v>0</x:v>
      </x:c>
      <x:c r="I16" s="40" t="n">
        <x:f>SUMIFS(Vendor_Bills!$H$5:$H$32,Vendor_Bills!$A$5:$A$32,$D16,Vendor_Bills!$J$5:$J$32,I$8)</x:f>
        <x:v>0</x:v>
      </x:c>
      <x:c r="J16" s="40" t="n">
        <x:f>SUM(E16:I16)</x:f>
        <x:v>0</x:v>
      </x:c>
    </x:row>
    <x:row r="17">
      <x:c r="D17" t="str">
        <x:v>Hampton Roads Insurance</x:v>
      </x:c>
      <x:c r="E17" s="40" t="n">
        <x:f>SUMIFS(Vendor_Bills!$H$5:$H$32,Vendor_Bills!$A$5:$A$32,$D17,Vendor_Bills!$J$5:$J$32,E$8)</x:f>
        <x:v>1950</x:v>
      </x:c>
      <x:c r="F17" s="40" t="n">
        <x:f>SUMIFS(Vendor_Bills!$H$5:$H$32,Vendor_Bills!$A$5:$A$32,$D17,Vendor_Bills!$J$5:$J$32,F$8)</x:f>
        <x:v>1950</x:v>
      </x:c>
      <x:c r="G17" s="40" t="n">
        <x:f>SUMIFS(Vendor_Bills!$H$5:$H$32,Vendor_Bills!$A$5:$A$32,$D17,Vendor_Bills!$J$5:$J$32,G$8)</x:f>
        <x:v>0</x:v>
      </x:c>
      <x:c r="H17" s="40" t="n">
        <x:f>SUMIFS(Vendor_Bills!$H$5:$H$32,Vendor_Bills!$A$5:$A$32,$D17,Vendor_Bills!$J$5:$J$32,H$8)</x:f>
        <x:v>0</x:v>
      </x:c>
      <x:c r="I17" s="40" t="n">
        <x:f>SUMIFS(Vendor_Bills!$H$5:$H$32,Vendor_Bills!$A$5:$A$32,$D17,Vendor_Bills!$J$5:$J$32,I$8)</x:f>
        <x:v>0</x:v>
      </x:c>
      <x:c r="J17" s="40" t="n">
        <x:f>SUM(E17:I17)</x:f>
        <x:v>3900</x:v>
      </x:c>
    </x:row>
    <x:row r="18">
      <x:c r="D18" t="str">
        <x:v>National Resin Co.</x:v>
      </x:c>
      <x:c r="E18" s="40" t="n">
        <x:f>SUMIFS(Vendor_Bills!$H$5:$H$32,Vendor_Bills!$A$5:$A$32,$D18,Vendor_Bills!$J$5:$J$32,E$8)</x:f>
        <x:v>7100</x:v>
      </x:c>
      <x:c r="F18" s="40" t="n">
        <x:f>SUMIFS(Vendor_Bills!$H$5:$H$32,Vendor_Bills!$A$5:$A$32,$D18,Vendor_Bills!$J$5:$J$32,F$8)</x:f>
        <x:v>6225</x:v>
      </x:c>
      <x:c r="G18" s="40" t="n">
        <x:f>SUMIFS(Vendor_Bills!$H$5:$H$32,Vendor_Bills!$A$5:$A$32,$D18,Vendor_Bills!$J$5:$J$32,G$8)</x:f>
        <x:v>0</x:v>
      </x:c>
      <x:c r="H18" s="40" t="n">
        <x:f>SUMIFS(Vendor_Bills!$H$5:$H$32,Vendor_Bills!$A$5:$A$32,$D18,Vendor_Bills!$J$5:$J$32,H$8)</x:f>
        <x:v>0</x:v>
      </x:c>
      <x:c r="I18" s="40" t="n">
        <x:f>SUMIFS(Vendor_Bills!$H$5:$H$32,Vendor_Bills!$A$5:$A$32,$D18,Vendor_Bills!$J$5:$J$32,I$8)</x:f>
        <x:v>0</x:v>
      </x:c>
      <x:c r="J18" s="40" t="n">
        <x:f>SUM(E18:I18)</x:f>
        <x:v>13325</x:v>
      </x:c>
    </x:row>
    <x:row r="19">
      <x:c r="D19" t="str">
        <x:v>Piedmont Packaging Co.</x:v>
      </x:c>
      <x:c r="E19" s="40" t="n">
        <x:f>SUMIFS(Vendor_Bills!$H$5:$H$32,Vendor_Bills!$A$5:$A$32,$D19,Vendor_Bills!$J$5:$J$32,E$8)</x:f>
        <x:v>0</x:v>
      </x:c>
      <x:c r="F19" s="40" t="n">
        <x:f>SUMIFS(Vendor_Bills!$H$5:$H$32,Vendor_Bills!$A$5:$A$32,$D19,Vendor_Bills!$J$5:$J$32,F$8)</x:f>
        <x:v>2495</x:v>
      </x:c>
      <x:c r="G19" s="40" t="n">
        <x:f>SUMIFS(Vendor_Bills!$H$5:$H$32,Vendor_Bills!$A$5:$A$32,$D19,Vendor_Bills!$J$5:$J$32,G$8)</x:f>
        <x:v>0</x:v>
      </x:c>
      <x:c r="H19" s="40" t="n">
        <x:f>SUMIFS(Vendor_Bills!$H$5:$H$32,Vendor_Bills!$A$5:$A$32,$D19,Vendor_Bills!$J$5:$J$32,H$8)</x:f>
        <x:v>0</x:v>
      </x:c>
      <x:c r="I19" s="40" t="n">
        <x:f>SUMIFS(Vendor_Bills!$H$5:$H$32,Vendor_Bills!$A$5:$A$32,$D19,Vendor_Bills!$J$5:$J$32,I$8)</x:f>
        <x:v>0</x:v>
      </x:c>
      <x:c r="J19" s="40" t="n">
        <x:f>SUM(E19:I19)</x:f>
        <x:v>2495</x:v>
      </x:c>
    </x:row>
    <x:row r="20">
      <x:c r="D20" t="str">
        <x:v>QuickBooks Payroll</x:v>
      </x:c>
      <x:c r="E20" s="40" t="n">
        <x:f>SUMIFS(Vendor_Bills!$H$5:$H$32,Vendor_Bills!$A$5:$A$32,$D20,Vendor_Bills!$J$5:$J$32,E$8)</x:f>
        <x:v>0</x:v>
      </x:c>
      <x:c r="F20" s="40" t="n">
        <x:f>SUMIFS(Vendor_Bills!$H$5:$H$32,Vendor_Bills!$A$5:$A$32,$D20,Vendor_Bills!$J$5:$J$32,F$8)</x:f>
        <x:v>0</x:v>
      </x:c>
      <x:c r="G20" s="40" t="n">
        <x:f>SUMIFS(Vendor_Bills!$H$5:$H$32,Vendor_Bills!$A$5:$A$32,$D20,Vendor_Bills!$J$5:$J$32,G$8)</x:f>
        <x:v>0</x:v>
      </x:c>
      <x:c r="H20" s="40" t="n">
        <x:f>SUMIFS(Vendor_Bills!$H$5:$H$32,Vendor_Bills!$A$5:$A$32,$D20,Vendor_Bills!$J$5:$J$32,H$8)</x:f>
        <x:v>0</x:v>
      </x:c>
      <x:c r="I20" s="40" t="n">
        <x:f>SUMIFS(Vendor_Bills!$H$5:$H$32,Vendor_Bills!$A$5:$A$32,$D20,Vendor_Bills!$J$5:$J$32,I$8)</x:f>
        <x:v>0</x:v>
      </x:c>
      <x:c r="J20" s="40" t="n">
        <x:f>SUM(E20:I20)</x:f>
        <x:v>0</x:v>
      </x:c>
    </x:row>
    <x:row r="21">
      <x:c r="D21" t="str">
        <x:v>Richmond Tax Advisors</x:v>
      </x:c>
      <x:c r="E21" s="40" t="n">
        <x:f>SUMIFS(Vendor_Bills!$H$5:$H$32,Vendor_Bills!$A$5:$A$32,$D21,Vendor_Bills!$J$5:$J$32,E$8)</x:f>
        <x:v>2400</x:v>
      </x:c>
      <x:c r="F21" s="40" t="n">
        <x:f>SUMIFS(Vendor_Bills!$H$5:$H$32,Vendor_Bills!$A$5:$A$32,$D21,Vendor_Bills!$J$5:$J$32,F$8)</x:f>
        <x:v>0</x:v>
      </x:c>
      <x:c r="G21" s="40" t="n">
        <x:f>SUMIFS(Vendor_Bills!$H$5:$H$32,Vendor_Bills!$A$5:$A$32,$D21,Vendor_Bills!$J$5:$J$32,G$8)</x:f>
        <x:v>0</x:v>
      </x:c>
      <x:c r="H21" s="40" t="n">
        <x:f>SUMIFS(Vendor_Bills!$H$5:$H$32,Vendor_Bills!$A$5:$A$32,$D21,Vendor_Bills!$J$5:$J$32,H$8)</x:f>
        <x:v>0</x:v>
      </x:c>
      <x:c r="I21" s="40" t="n">
        <x:f>SUMIFS(Vendor_Bills!$H$5:$H$32,Vendor_Bills!$A$5:$A$32,$D21,Vendor_Bills!$J$5:$J$32,I$8)</x:f>
        <x:v>0</x:v>
      </x:c>
      <x:c r="J21" s="40" t="n">
        <x:f>SUM(E21:I21)</x:f>
        <x:v>2400</x:v>
      </x:c>
    </x:row>
    <x:row r="22">
      <x:c r="D22" t="str">
        <x:v>Ridgeway Freight Services</x:v>
      </x:c>
      <x:c r="E22" s="40" t="n">
        <x:f>SUMIFS(Vendor_Bills!$H$5:$H$32,Vendor_Bills!$A$5:$A$32,$D22,Vendor_Bills!$J$5:$J$32,E$8)</x:f>
        <x:v>2050</x:v>
      </x:c>
      <x:c r="F22" s="40" t="n">
        <x:f>SUMIFS(Vendor_Bills!$H$5:$H$32,Vendor_Bills!$A$5:$A$32,$D22,Vendor_Bills!$J$5:$J$32,F$8)</x:f>
        <x:v>0</x:v>
      </x:c>
      <x:c r="G22" s="40" t="n">
        <x:f>SUMIFS(Vendor_Bills!$H$5:$H$32,Vendor_Bills!$A$5:$A$32,$D22,Vendor_Bills!$J$5:$J$32,G$8)</x:f>
        <x:v>1885.25</x:v>
      </x:c>
      <x:c r="H22" s="40" t="n">
        <x:f>SUMIFS(Vendor_Bills!$H$5:$H$32,Vendor_Bills!$A$5:$A$32,$D22,Vendor_Bills!$J$5:$J$32,H$8)</x:f>
        <x:v>0</x:v>
      </x:c>
      <x:c r="I22" s="40" t="n">
        <x:f>SUMIFS(Vendor_Bills!$H$5:$H$32,Vendor_Bills!$A$5:$A$32,$D22,Vendor_Bills!$J$5:$J$32,I$8)</x:f>
        <x:v>0</x:v>
      </x:c>
      <x:c r="J22" s="40" t="n">
        <x:f>SUM(E22:I22)</x:f>
        <x:v>3935.25</x:v>
      </x:c>
    </x:row>
    <x:row r="23">
      <x:c r="D23" t="str">
        <x:v>SafetyFirst Supplies</x:v>
      </x:c>
      <x:c r="E23" s="40" t="n">
        <x:f>SUMIFS(Vendor_Bills!$H$5:$H$32,Vendor_Bills!$A$5:$A$32,$D23,Vendor_Bills!$J$5:$J$32,E$8)</x:f>
        <x:v>0</x:v>
      </x:c>
      <x:c r="F23" s="40" t="n">
        <x:f>SUMIFS(Vendor_Bills!$H$5:$H$32,Vendor_Bills!$A$5:$A$32,$D23,Vendor_Bills!$J$5:$J$32,F$8)</x:f>
        <x:v>1430</x:v>
      </x:c>
      <x:c r="G23" s="40" t="n">
        <x:f>SUMIFS(Vendor_Bills!$H$5:$H$32,Vendor_Bills!$A$5:$A$32,$D23,Vendor_Bills!$J$5:$J$32,G$8)</x:f>
        <x:v>1250</x:v>
      </x:c>
      <x:c r="H23" s="40" t="n">
        <x:f>SUMIFS(Vendor_Bills!$H$5:$H$32,Vendor_Bills!$A$5:$A$32,$D23,Vendor_Bills!$J$5:$J$32,H$8)</x:f>
        <x:v>0</x:v>
      </x:c>
      <x:c r="I23" s="40" t="n">
        <x:f>SUMIFS(Vendor_Bills!$H$5:$H$32,Vendor_Bills!$A$5:$A$32,$D23,Vendor_Bills!$J$5:$J$32,I$8)</x:f>
        <x:v>0</x:v>
      </x:c>
      <x:c r="J23" s="40" t="n">
        <x:f>SUM(E23:I23)</x:f>
        <x:v>2680</x:v>
      </x:c>
    </x:row>
    <x:row r="24">
      <x:c r="D24" t="str">
        <x:v>Skyline Janitorial</x:v>
      </x:c>
      <x:c r="E24" s="40" t="n">
        <x:f>SUMIFS(Vendor_Bills!$H$5:$H$32,Vendor_Bills!$A$5:$A$32,$D24,Vendor_Bills!$J$5:$J$32,E$8)</x:f>
        <x:v>0</x:v>
      </x:c>
      <x:c r="F24" s="40" t="n">
        <x:f>SUMIFS(Vendor_Bills!$H$5:$H$32,Vendor_Bills!$A$5:$A$32,$D24,Vendor_Bills!$J$5:$J$32,F$8)</x:f>
        <x:v>0</x:v>
      </x:c>
      <x:c r="G24" s="40" t="n">
        <x:f>SUMIFS(Vendor_Bills!$H$5:$H$32,Vendor_Bills!$A$5:$A$32,$D24,Vendor_Bills!$J$5:$J$32,G$8)</x:f>
        <x:v>685</x:v>
      </x:c>
      <x:c r="H24" s="40" t="n">
        <x:f>SUMIFS(Vendor_Bills!$H$5:$H$32,Vendor_Bills!$A$5:$A$32,$D24,Vendor_Bills!$J$5:$J$32,H$8)</x:f>
        <x:v>0</x:v>
      </x:c>
      <x:c r="I24" s="40" t="n">
        <x:f>SUMIFS(Vendor_Bills!$H$5:$H$32,Vendor_Bills!$A$5:$A$32,$D24,Vendor_Bills!$J$5:$J$32,I$8)</x:f>
        <x:v>0</x:v>
      </x:c>
      <x:c r="J24" s="40" t="n">
        <x:f>SUM(E24:I24)</x:f>
        <x:v>685</x:v>
      </x:c>
    </x:row>
    <x:row r="25">
      <x:c r="D25" t="str">
        <x:v>Virginia Office Supply</x:v>
      </x:c>
      <x:c r="E25" s="40" t="n">
        <x:f>SUMIFS(Vendor_Bills!$H$5:$H$32,Vendor_Bills!$A$5:$A$32,$D25,Vendor_Bills!$J$5:$J$32,E$8)</x:f>
        <x:v>0</x:v>
      </x:c>
      <x:c r="F25" s="40" t="n">
        <x:f>SUMIFS(Vendor_Bills!$H$5:$H$32,Vendor_Bills!$A$5:$A$32,$D25,Vendor_Bills!$J$5:$J$32,F$8)</x:f>
        <x:v>745.9</x:v>
      </x:c>
      <x:c r="G25" s="40" t="n">
        <x:f>SUMIFS(Vendor_Bills!$H$5:$H$32,Vendor_Bills!$A$5:$A$32,$D25,Vendor_Bills!$J$5:$J$32,G$8)</x:f>
        <x:v>0</x:v>
      </x:c>
      <x:c r="H25" s="40" t="n">
        <x:f>SUMIFS(Vendor_Bills!$H$5:$H$32,Vendor_Bills!$A$5:$A$32,$D25,Vendor_Bills!$J$5:$J$32,H$8)</x:f>
        <x:v>0</x:v>
      </x:c>
      <x:c r="I25" s="40" t="n">
        <x:f>SUMIFS(Vendor_Bills!$H$5:$H$32,Vendor_Bills!$A$5:$A$32,$D25,Vendor_Bills!$J$5:$J$32,I$8)</x:f>
        <x:v>0</x:v>
      </x:c>
      <x:c r="J25" s="40" t="n">
        <x:f>SUM(E25:I25)</x:f>
        <x:v>745.9</x:v>
      </x:c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66de6888b667404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FCDA72B33F704B902DF05EFF11A127" ma:contentTypeVersion="12" ma:contentTypeDescription="Create a new document." ma:contentTypeScope="" ma:versionID="c6f9a1a39b749c0b35fc296ed518e8f3">
  <xsd:schema xmlns:xsd="http://www.w3.org/2001/XMLSchema" xmlns:xs="http://www.w3.org/2001/XMLSchema" xmlns:p="http://schemas.microsoft.com/office/2006/metadata/properties" xmlns:ns2="7019b7ea-2583-48d5-9dd7-5b4a847e7ee9" xmlns:ns3="27445e43-ccdd-4da6-b549-fdecb12a794f" targetNamespace="http://schemas.microsoft.com/office/2006/metadata/properties" ma:root="true" ma:fieldsID="45a2daf967dbe5b730172693d155efad" ns2:_="" ns3:_="">
    <xsd:import namespace="7019b7ea-2583-48d5-9dd7-5b4a847e7ee9"/>
    <xsd:import namespace="27445e43-ccdd-4da6-b549-fdecb12a79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19b7ea-2583-48d5-9dd7-5b4a847e7e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0f1de3d-d31a-4396-82d5-79995a5512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445e43-ccdd-4da6-b549-fdecb12a794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f456272-03e4-4335-84cf-9ee0017832c0}" ma:internalName="TaxCatchAll" ma:showField="CatchAllData" ma:web="27445e43-ccdd-4da6-b549-fdecb12a794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019b7ea-2583-48d5-9dd7-5b4a847e7ee9">
      <Terms xmlns="http://schemas.microsoft.com/office/infopath/2007/PartnerControls"/>
    </lcf76f155ced4ddcb4097134ff3c332f>
    <TaxCatchAll xmlns="27445e43-ccdd-4da6-b549-fdecb12a794f" xsi:nil="true"/>
  </documentManagement>
</p:properties>
</file>

<file path=customXml/itemProps1.xml><?xml version="1.0" encoding="utf-8"?>
<ds:datastoreItem xmlns:ds="http://schemas.openxmlformats.org/officeDocument/2006/customXml" ds:itemID="{618FCAA4-7577-4AFA-9F8C-D0B79B2F4B20}"/>
</file>

<file path=customXml/itemProps2.xml><?xml version="1.0" encoding="utf-8"?>
<ds:datastoreItem xmlns:ds="http://schemas.openxmlformats.org/officeDocument/2006/customXml" ds:itemID="{0E92378B-9864-45E2-9B08-65161991E9AB}"/>
</file>

<file path=customXml/itemProps3.xml><?xml version="1.0" encoding="utf-8"?>
<ds:datastoreItem xmlns:ds="http://schemas.openxmlformats.org/officeDocument/2006/customXml" ds:itemID="{4952F5EE-348E-4F52-989E-307392DCE802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0x0101007FFCDA72B33F704B902DF05EFF11A127</vt:lpwstr>
  </property>
</Properties>
</file>