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4dfaafafefad4a53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b735f0d7da84efa"/>
    <x:sheet xmlns:r="http://schemas.openxmlformats.org/officeDocument/2006/relationships" name="Bank Statement" sheetId="2" r:id="R21f85ab3305e4a2a"/>
    <x:sheet xmlns:r="http://schemas.openxmlformats.org/officeDocument/2006/relationships" name="QuickBooks Register" sheetId="3" r:id="R0d12d7a2b2cc4ab5"/>
    <x:sheet xmlns:r="http://schemas.openxmlformats.org/officeDocument/2006/relationships" name="Reconciliation Worksheet" sheetId="4" r:id="Re29b7bdc898042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mm/dd/yyyy"/>
    <x:numFmt numFmtId="202" formatCode="$#,##0.00;[Red]($#,##0.00);-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2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202" fontId="0" fillId="4" borderId="0" xfId="0" applyNumberFormat="1" applyFont="1" applyFill="1" applyBorder="1"/>
    <x:xf numFmtId="202" fontId="2" fillId="6" borderId="0" xfId="0" applyNumberFormat="1" applyFont="1" applyFill="1" applyBorder="1"/>
    <x:xf numFmtId="202" fontId="2" fillId="3" borderId="0" xfId="0" applyNumberFormat="1" applyFont="1" applyFill="1" applyBorder="1"/>
    <x:xf numFmtId="202" fontId="2" fillId="7" borderId="0" xfId="0" applyNumberFormat="1" applyFont="1" applyFill="1" applyBorder="1"/>
    <x:xf numFmtId="202" fontId="0" fillId="4" borderId="1" xfId="0" applyNumberFormat="1" applyFont="1" applyFill="1" applyBorder="1"/>
    <x:xf numFmtId="202" fontId="2" fillId="6" borderId="1" xfId="0" applyNumberFormat="1" applyFont="1" applyFill="1" applyBorder="1"/>
    <x:xf numFmtId="202" fontId="2" fillId="3" borderId="1" xfId="0" applyNumberFormat="1" applyFont="1" applyFill="1" applyBorder="1"/>
    <x:xf numFmtId="202" fontId="2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1b735f0d7da84efa" Type="http://schemas.openxmlformats.org/officeDocument/2006/relationships/worksheet" Target="/xl/worksheets/sheet1.xml"/><Relationship Id="R6cc1ba71d26d4b2a" Type="http://schemas.openxmlformats.org/officeDocument/2006/relationships/styles" Target="/xl/styles.xml"/><Relationship Id="R0d12d7a2b2cc4ab5" Type="http://schemas.openxmlformats.org/officeDocument/2006/relationships/worksheet" Target="/xl/worksheets/sheet3.xml"/><Relationship Id="rId3" Type="http://schemas.openxmlformats.org/officeDocument/2006/relationships/customXml" Target="../customXml/item3.xml"/><Relationship Id="Re29b7bdc898042d4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b661130768084980" Type="http://schemas.openxmlformats.org/officeDocument/2006/relationships/theme" Target="/xl/theme/theme1.xml"/><Relationship Id="R61b021f3130847ca" Type="http://schemas.openxmlformats.org/officeDocument/2006/relationships/sharedStrings" Target="/xl/sharedStrings.xml"/><Relationship Id="R21f85ab3305e4a2a" Type="http://schemas.openxmlformats.org/officeDocument/2006/relationships/worksheet" Target="/xl/worksheets/sheet2.xml"/></Relationships>
</file>

<file path=xl/tables/table1.xml><?xml version="1.0" encoding="utf-8"?>
<x:table xmlns:x="http://schemas.openxmlformats.org/spreadsheetml/2006/main" id="1" name="Instructions_February" displayName="Instructions_February" ref="A4:B11" headerRowCount="1">
  <x:tableColumns count="2">
    <x:tableColumn id="1" name="Item"/>
    <x:tableColumn id="2" name="Instruction / Data"/>
  </x:tableColumns>
  <x:tableStyleInfo name="TableStyleMedium2" showRowStripes="1"/>
</x:table>
</file>

<file path=xl/tables/table2.xml><?xml version="1.0" encoding="utf-8"?>
<x:table xmlns:x="http://schemas.openxmlformats.org/spreadsheetml/2006/main" id="2" name="BankStmt_February" displayName="BankStmt_February" ref="A10:F44" headerRowCount="1">
  <x:tableColumns count="6">
    <x:tableColumn id="1" name="Date"/>
    <x:tableColumn id="2" name="Transaction Type"/>
    <x:tableColumn id="3" name="Reference"/>
    <x:tableColumn id="4" name="Withdrawals / Debits"/>
    <x:tableColumn id="5" name="Deposits / Credits"/>
    <x:tableColumn id="6" name="Running Balance"/>
  </x:tableColumns>
  <x:tableStyleInfo name="TableStyleMedium2" showRowStripes="1"/>
</x:table>
</file>

<file path=xl/tables/table3.xml><?xml version="1.0" encoding="utf-8"?>
<x:table xmlns:x="http://schemas.openxmlformats.org/spreadsheetml/2006/main" id="3" name="QBRegister_February" displayName="QBRegister_February" ref="A6:J40" headerRowCount="1">
  <x:tableColumns count="10">
    <x:tableColumn id="1" name="Date"/>
    <x:tableColumn id="2" name="Type"/>
    <x:tableColumn id="3" name="No./Ref"/>
    <x:tableColumn id="4" name="Name"/>
    <x:tableColumn id="5" name="Memo"/>
    <x:tableColumn id="6" name="Payment"/>
    <x:tableColumn id="7" name="Deposit"/>
    <x:tableColumn id="8" name="Book Balance"/>
    <x:tableColumn id="9" name="Cleared?"/>
    <x:tableColumn id="10" name="Student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3f9b467ba34d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9790d96e09a48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0991f014de47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4" customHeight="1">
      <x:c r="A1" s="5" t="str">
        <x:v>Skarion Manufacturing LLC - February 2026 Bank Reconciliation Exercise</x:v>
      </x:c>
      <x:c r="B1" s="5"/>
      <x:c r="C1" s="5"/>
      <x:c r="D1" s="5"/>
      <x:c r="E1" s="5"/>
      <x:c r="F1" s="5"/>
    </x:row>
    <x:row r="4">
      <x:c r="A4" s="12" t="str">
        <x:v>Item</x:v>
      </x:c>
      <x:c r="B4" s="12" t="str">
        <x:v>Instruction / Data</x:v>
      </x:c>
    </x:row>
    <x:row r="5">
      <x:c r="A5" t="str">
        <x:v>Purpose</x:v>
      </x:c>
      <x:c r="B5" s="16" t="str">
        <x:v>Use the bank statement and QuickBooks register to complete the reconciliation worksheet.</x:v>
      </x:c>
    </x:row>
    <x:row r="6">
      <x:c r="A6" t="str">
        <x:v>Student task 1</x:v>
      </x:c>
      <x:c r="B6" s="16" t="str">
        <x:v>Match bank transactions to QuickBooks transactions.</x:v>
      </x:c>
    </x:row>
    <x:row r="7">
      <x:c r="A7" t="str">
        <x:v>Student task 2</x:v>
      </x:c>
      <x:c r="B7" s="16" t="str">
        <x:v>Identify missing transactions, wrong amounts, duplicate book entries, outstanding checks, or deposits in transit.</x:v>
      </x:c>
    </x:row>
    <x:row r="8">
      <x:c r="A8" t="str">
        <x:v>Student task 3</x:v>
      </x:c>
      <x:c r="B8" s="16" t="str">
        <x:v>Complete the reconciliation worksheet so adjusted bank balance equals adjusted book balance.</x:v>
      </x:c>
    </x:row>
    <x:row r="9">
      <x:c r="A9" t="str">
        <x:v>Student task 4</x:v>
      </x:c>
      <x:c r="B9" s="16" t="str">
        <x:v>Prepare any adjusting journal entries needed in QuickBooks.</x:v>
      </x:c>
    </x:row>
    <x:row r="10">
      <x:c r="A10" t="str">
        <x:v>Built-in issue count</x:v>
      </x:c>
      <x:c r="B10" s="16" t="str">
        <x:v>3 reconciliation issues are built in: one wrong-amount book entry, one missing bank credit in QuickBooks, and one outstanding check.</x:v>
      </x:c>
    </x:row>
    <x:row r="11">
      <x:c r="A11" t="str">
        <x:v>Important</x:v>
      </x:c>
      <x:c r="B11" s="16" t="str">
        <x:v>Do not assume the bank statement is wrong unless the data clearly supports it. Most differences are book-side timing or entry issues.</x:v>
      </x:c>
    </x:row>
    <x:row r="13">
      <x:c r="A13" s="20" t="str">
        <x:v>Deliverable</x:v>
      </x:c>
      <x:c r="B13" s="20" t="str">
        <x:v>Completed reconciliation worksheet plus a short note explaining each discrepancy found.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c3f9b467ba34da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25" t="str">
        <x:v>COMMONWEALTH BANK OF VIRGINIA</x:v>
      </x:c>
      <x:c r="B1" s="25"/>
      <x:c r="C1" s="25"/>
      <x:c r="D1" s="25"/>
      <x:c r="E1" s="25"/>
      <x:c r="F1" s="25"/>
    </x:row>
    <x:row r="2">
      <x:c r="A2" s="29" t="str">
        <x:v>Operating Checking Statement</x:v>
      </x:c>
      <x:c r="B2" s="29"/>
      <x:c r="C2" s="29"/>
      <x:c r="D2" s="29"/>
      <x:c r="E2" s="29"/>
      <x:c r="F2" s="29"/>
    </x:row>
    <x:row r="4">
      <x:c r="A4" s="33" t="str">
        <x:v>Company</x:v>
      </x:c>
      <x:c r="B4" t="str">
        <x:v>Skarion Manufacturing LLC</x:v>
      </x:c>
      <x:c r="C4" t="str"/>
      <x:c r="D4" s="33" t="str">
        <x:v>Account Number</x:v>
      </x:c>
      <x:c r="E4" t="str">
        <x:v>****-7421</x:v>
      </x:c>
      <x:c r="F4" t="str"/>
    </x:row>
    <x:row r="5">
      <x:c r="A5" s="33" t="str">
        <x:v>Statement Period</x:v>
      </x:c>
      <x:c r="B5" t="str">
        <x:v>Feb 01, 2026 - Feb 28, 2026</x:v>
      </x:c>
      <x:c r="C5" t="str"/>
      <x:c r="D5" s="33" t="str">
        <x:v>Currency</x:v>
      </x:c>
      <x:c r="E5" t="str">
        <x:v>USD</x:v>
      </x:c>
      <x:c r="F5" t="str"/>
    </x:row>
    <x:row r="6">
      <x:c r="A6" s="33" t="str">
        <x:v>Starting Balance</x:v>
      </x:c>
      <x:c r="B6" s="36" t="n">
        <x:v>107993.63</x:v>
      </x:c>
      <x:c r="C6" t="str"/>
      <x:c r="D6" s="33" t="str">
        <x:v>Total Deposits / Credits</x:v>
      </x:c>
      <x:c r="E6" s="36" t="n">
        <x:f>SUM(E11:E44)</x:f>
        <x:v>136168.75</x:v>
      </x:c>
      <x:c r="F6" t="str"/>
    </x:row>
    <x:row r="7">
      <x:c r="A7" s="33" t="str">
        <x:v>Total Withdrawals / Debits</x:v>
      </x:c>
      <x:c r="B7" s="36" t="n">
        <x:f>SUM(D11:D44)</x:f>
        <x:v>100603.22</x:v>
      </x:c>
      <x:c r="C7" t="str"/>
      <x:c r="D7" s="33" t="str">
        <x:v>Ending Balance</x:v>
      </x:c>
      <x:c r="E7" s="36" t="n">
        <x:f>B6+E6-B7</x:f>
        <x:v>143559.16</x:v>
      </x:c>
      <x:c r="F7" t="str"/>
    </x:row>
    <x:row r="10">
      <x:c r="A10" s="39" t="str">
        <x:v>Date</x:v>
      </x:c>
      <x:c r="B10" s="39" t="str">
        <x:v>Transaction Type</x:v>
      </x:c>
      <x:c r="C10" s="39" t="str">
        <x:v>Reference</x:v>
      </x:c>
      <x:c r="D10" s="39" t="str">
        <x:v>Withdrawals / Debits</x:v>
      </x:c>
      <x:c r="E10" s="39" t="str">
        <x:v>Deposits / Credits</x:v>
      </x:c>
      <x:c r="F10" s="39" t="str">
        <x:v>Running Balance</x:v>
      </x:c>
    </x:row>
    <x:row r="11">
      <x:c r="A11" s="42" t="n">
        <x:v>46055</x:v>
      </x:c>
      <x:c r="B11" s="16" t="str">
        <x:v>ACH Debit - Northern VA Commercial Realty - February rent</x:v>
      </x:c>
      <x:c r="C11" t="str">
        <x:v>ACH-RENT</x:v>
      </x:c>
      <x:c r="D11" s="44" t="n">
        <x:v>12800</x:v>
      </x:c>
      <x:c r="E11" s="44"/>
      <x:c r="F11" s="44" t="n">
        <x:f>$B$6+E11-D11</x:f>
        <x:v>95193.63</x:v>
      </x:c>
    </x:row>
    <x:row r="12">
      <x:c r="A12" s="42" t="n">
        <x:v>46055</x:v>
      </x:c>
      <x:c r="B12" s="16" t="str">
        <x:v>ACH Credit - Arlington Workspace Partners - customer payment</x:v>
      </x:c>
      <x:c r="C12" t="str">
        <x:v>DEP-2001</x:v>
      </x:c>
      <x:c r="D12" s="44"/>
      <x:c r="E12" s="44" t="n">
        <x:v>14300</x:v>
      </x:c>
      <x:c r="F12" s="44" t="n">
        <x:f>F11+E12-D12</x:f>
        <x:v>109493.63</x:v>
      </x:c>
    </x:row>
    <x:row r="13">
      <x:c r="A13" s="42" t="n">
        <x:v>46056</x:v>
      </x:c>
      <x:c r="B13" s="16" t="str">
        <x:v>Check - Valley Metal Supply - raw materials</x:v>
      </x:c>
      <x:c r="C13" t="str">
        <x:v>1021</x:v>
      </x:c>
      <x:c r="D13" s="44" t="n">
        <x:v>6825</x:v>
      </x:c>
      <x:c r="E13" s="44"/>
      <x:c r="F13" s="44" t="n">
        <x:f>F12+E13-D13</x:f>
        <x:v>102668.63</x:v>
      </x:c>
    </x:row>
    <x:row r="14">
      <x:c r="A14" s="42" t="n">
        <x:v>46057</x:v>
      </x:c>
      <x:c r="B14" s="16" t="str">
        <x:v>ACH Debit - Dominion Energy - plant utilities</x:v>
      </x:c>
      <x:c r="C14" t="str">
        <x:v>ACH-UTIL</x:v>
      </x:c>
      <x:c r="D14" s="44" t="n">
        <x:v>1965</x:v>
      </x:c>
      <x:c r="E14" s="44"/>
      <x:c r="F14" s="44" t="n">
        <x:f>F13+E14-D14</x:f>
        <x:v>100703.63</x:v>
      </x:c>
    </x:row>
    <x:row r="15">
      <x:c r="A15" s="42" t="n">
        <x:v>46058</x:v>
      </x:c>
      <x:c r="B15" s="16" t="str">
        <x:v>ACH Credit - Lynchburg Millwork Co. - customer payment</x:v>
      </x:c>
      <x:c r="C15" t="str">
        <x:v>DEP-2002</x:v>
      </x:c>
      <x:c r="D15" s="44"/>
      <x:c r="E15" s="44" t="n">
        <x:v>10200</x:v>
      </x:c>
      <x:c r="F15" s="44" t="n">
        <x:f>F14+E15-D15</x:f>
        <x:v>110903.63</x:v>
      </x:c>
    </x:row>
    <x:row r="16">
      <x:c r="A16" s="42" t="n">
        <x:v>46059</x:v>
      </x:c>
      <x:c r="B16" s="16" t="str">
        <x:v>Check - OfficePro Supplies - office supplies</x:v>
      </x:c>
      <x:c r="C16" t="str">
        <x:v>1022</x:v>
      </x:c>
      <x:c r="D16" s="44" t="n">
        <x:v>920</x:v>
      </x:c>
      <x:c r="E16" s="44"/>
      <x:c r="F16" s="44" t="n">
        <x:f>F15+E16-D16</x:f>
        <x:v>109983.63</x:v>
      </x:c>
    </x:row>
    <x:row r="17">
      <x:c r="A17" s="42" t="n">
        <x:v>46059</x:v>
      </x:c>
      <x:c r="B17" s="16" t="str">
        <x:v>ACH Debit - Intuit QuickBooks Online subscription</x:v>
      </x:c>
      <x:c r="C17" t="str">
        <x:v>ACH-QBO</x:v>
      </x:c>
      <x:c r="D17" s="44" t="n">
        <x:v>225</x:v>
      </x:c>
      <x:c r="E17" s="44"/>
      <x:c r="F17" s="44" t="n">
        <x:f>F16+E17-D17</x:f>
        <x:v>109758.63</x:v>
      </x:c>
    </x:row>
    <x:row r="18">
      <x:c r="A18" s="42" t="n">
        <x:v>46060</x:v>
      </x:c>
      <x:c r="B18" s="16" t="str">
        <x:v>ACH Credit - Bristol Cabinetry - customer payment</x:v>
      </x:c>
      <x:c r="C18" t="str">
        <x:v>DEP-2003</x:v>
      </x:c>
      <x:c r="D18" s="44"/>
      <x:c r="E18" s="44" t="n">
        <x:v>16750</x:v>
      </x:c>
      <x:c r="F18" s="44" t="n">
        <x:f>F17+E18-D18</x:f>
        <x:v>126508.63</x:v>
      </x:c>
    </x:row>
    <x:row r="19">
      <x:c r="A19" s="42" t="n">
        <x:v>46061</x:v>
      </x:c>
      <x:c r="B19" s="16" t="str">
        <x:v>ACH Debit - Atlantic Freight Lines - freight bill</x:v>
      </x:c>
      <x:c r="C19" t="str">
        <x:v>ACH-FRT</x:v>
      </x:c>
      <x:c r="D19" s="44" t="n">
        <x:v>1840</x:v>
      </x:c>
      <x:c r="E19" s="44"/>
      <x:c r="F19" s="44" t="n">
        <x:f>F18+E19-D19</x:f>
        <x:v>124668.63</x:v>
      </x:c>
    </x:row>
    <x:row r="20">
      <x:c r="A20" s="42" t="n">
        <x:v>46062</x:v>
      </x:c>
      <x:c r="B20" s="16" t="str">
        <x:v>Wire Debit - Precision Plastics - inventory purchase</x:v>
      </x:c>
      <x:c r="C20" t="str">
        <x:v>WIRE-2001</x:v>
      </x:c>
      <x:c r="D20" s="44" t="n">
        <x:v>15400</x:v>
      </x:c>
      <x:c r="E20" s="44"/>
      <x:c r="F20" s="44" t="n">
        <x:f>F19+E20-D20</x:f>
        <x:v>109268.63</x:v>
      </x:c>
    </x:row>
    <x:row r="21">
      <x:c r="A21" s="42" t="n">
        <x:v>46063</x:v>
      </x:c>
      <x:c r="B21" s="16" t="str">
        <x:v>ACH Credit - Alexandria Contractors - customer payment</x:v>
      </x:c>
      <x:c r="C21" t="str">
        <x:v>DEP-2004</x:v>
      </x:c>
      <x:c r="D21" s="44"/>
      <x:c r="E21" s="44" t="n">
        <x:v>11250</x:v>
      </x:c>
      <x:c r="F21" s="44" t="n">
        <x:f>F20+E21-D21</x:f>
        <x:v>120518.63</x:v>
      </x:c>
    </x:row>
    <x:row r="22">
      <x:c r="A22" s="42" t="n">
        <x:v>46063</x:v>
      </x:c>
      <x:c r="B22" s="16" t="str">
        <x:v>ACH Debit - ADP Payroll Tax Withdrawal</x:v>
      </x:c>
      <x:c r="C22" t="str">
        <x:v>ACH-PAYTAX</x:v>
      </x:c>
      <x:c r="D22" s="44" t="n">
        <x:v>3540</x:v>
      </x:c>
      <x:c r="E22" s="44"/>
      <x:c r="F22" s="44" t="n">
        <x:f>F21+E22-D22</x:f>
        <x:v>116978.63</x:v>
      </x:c>
    </x:row>
    <x:row r="23">
      <x:c r="A23" s="42" t="n">
        <x:v>46064</x:v>
      </x:c>
      <x:c r="B23" s="16" t="str">
        <x:v>Bank Fee - Monthly bank service charge</x:v>
      </x:c>
      <x:c r="C23" t="str">
        <x:v>FEE-002</x:v>
      </x:c>
      <x:c r="D23" s="44" t="n">
        <x:v>35</x:v>
      </x:c>
      <x:c r="E23" s="44"/>
      <x:c r="F23" s="44" t="n">
        <x:f>F22+E23-D23</x:f>
        <x:v>116943.63</x:v>
      </x:c>
    </x:row>
    <x:row r="24">
      <x:c r="A24" s="42" t="n">
        <x:v>46065</x:v>
      </x:c>
      <x:c r="B24" s="16" t="str">
        <x:v>Check - Precision Packaging - cartons and labels</x:v>
      </x:c>
      <x:c r="C24" t="str">
        <x:v>1023</x:v>
      </x:c>
      <x:c r="D24" s="44" t="n">
        <x:v>3180</x:v>
      </x:c>
      <x:c r="E24" s="44"/>
      <x:c r="F24" s="44" t="n">
        <x:f>F23+E24-D24</x:f>
        <x:v>113763.63</x:v>
      </x:c>
    </x:row>
    <x:row r="25">
      <x:c r="A25" s="42" t="n">
        <x:v>46066</x:v>
      </x:c>
      <x:c r="B25" s="16" t="str">
        <x:v>ACH Debit - Verizon Business - internet and phone</x:v>
      </x:c>
      <x:c r="C25" t="str">
        <x:v>ACH-TEL</x:v>
      </x:c>
      <x:c r="D25" s="44" t="n">
        <x:v>620</x:v>
      </x:c>
      <x:c r="E25" s="44"/>
      <x:c r="F25" s="44" t="n">
        <x:f>F24+E25-D25</x:f>
        <x:v>113143.63</x:v>
      </x:c>
    </x:row>
    <x:row r="26">
      <x:c r="A26" s="42" t="n">
        <x:v>46067</x:v>
      </x:c>
      <x:c r="B26" s="16" t="str">
        <x:v>ACH Credit - Dulles Industrial Interiors - customer payment</x:v>
      </x:c>
      <x:c r="C26" t="str">
        <x:v>DEP-2005</x:v>
      </x:c>
      <x:c r="D26" s="44"/>
      <x:c r="E26" s="44" t="n">
        <x:v>13400</x:v>
      </x:c>
      <x:c r="F26" s="44" t="n">
        <x:f>F25+E26-D26</x:f>
        <x:v>126543.63</x:v>
      </x:c>
    </x:row>
    <x:row r="27">
      <x:c r="A27" s="42" t="n">
        <x:v>46068</x:v>
      </x:c>
      <x:c r="B27" s="16" t="str">
        <x:v>ACH Debit - Net payroll direct deposit</x:v>
      </x:c>
      <x:c r="C27" t="str">
        <x:v>ACH-PAYROLL</x:v>
      </x:c>
      <x:c r="D27" s="44" t="n">
        <x:v>23100</x:v>
      </x:c>
      <x:c r="E27" s="44"/>
      <x:c r="F27" s="44" t="n">
        <x:f>F26+E27-D27</x:f>
        <x:v>103443.63</x:v>
      </x:c>
    </x:row>
    <x:row r="28">
      <x:c r="A28" s="42" t="n">
        <x:v>46069</x:v>
      </x:c>
      <x:c r="B28" s="16" t="str">
        <x:v>ACH Credit - Prince William Schools - customer payment</x:v>
      </x:c>
      <x:c r="C28" t="str">
        <x:v>DEP-2006</x:v>
      </x:c>
      <x:c r="D28" s="44"/>
      <x:c r="E28" s="44" t="n">
        <x:v>21800</x:v>
      </x:c>
      <x:c r="F28" s="44" t="n">
        <x:f>F27+E28-D28</x:f>
        <x:v>125243.63</x:v>
      </x:c>
    </x:row>
    <x:row r="29">
      <x:c r="A29" s="42" t="n">
        <x:v>46070</x:v>
      </x:c>
      <x:c r="B29" s="16" t="str">
        <x:v>ACH Debit - Patriot Insurance Agency - monthly premium</x:v>
      </x:c>
      <x:c r="C29" t="str">
        <x:v>ACH-INS</x:v>
      </x:c>
      <x:c r="D29" s="44" t="n">
        <x:v>1280</x:v>
      </x:c>
      <x:c r="E29" s="44"/>
      <x:c r="F29" s="44" t="n">
        <x:f>F28+E29-D29</x:f>
        <x:v>123963.63</x:v>
      </x:c>
    </x:row>
    <x:row r="30">
      <x:c r="A30" s="42" t="n">
        <x:v>46071</x:v>
      </x:c>
      <x:c r="B30" s="16" t="str">
        <x:v>Check - Riverbend Tooling - machine repair parts</x:v>
      </x:c>
      <x:c r="C30" t="str">
        <x:v>1024</x:v>
      </x:c>
      <x:c r="D30" s="44" t="n">
        <x:v>4025</x:v>
      </x:c>
      <x:c r="E30" s="44"/>
      <x:c r="F30" s="44" t="n">
        <x:f>F29+E30-D30</x:f>
        <x:v>119938.63</x:v>
      </x:c>
    </x:row>
    <x:row r="31">
      <x:c r="A31" s="42" t="n">
        <x:v>46072</x:v>
      </x:c>
      <x:c r="B31" s="16" t="str">
        <x:v>ACH Debit - Virginia sales tax payment</x:v>
      </x:c>
      <x:c r="C31" t="str">
        <x:v>ACH-SALESTAX</x:v>
      </x:c>
      <x:c r="D31" s="44" t="n">
        <x:v>2680</x:v>
      </x:c>
      <x:c r="E31" s="44"/>
      <x:c r="F31" s="44" t="n">
        <x:f>F30+E31-D31</x:f>
        <x:v>117258.63</x:v>
      </x:c>
    </x:row>
    <x:row r="32">
      <x:c r="A32" s="42" t="n">
        <x:v>46073</x:v>
      </x:c>
      <x:c r="B32" s="16" t="str">
        <x:v>ACH Credit - Albemarle Healthcare Facilities - customer payment</x:v>
      </x:c>
      <x:c r="C32" t="str">
        <x:v>DEP-2007</x:v>
      </x:c>
      <x:c r="D32" s="44"/>
      <x:c r="E32" s="44" t="n">
        <x:v>12500</x:v>
      </x:c>
      <x:c r="F32" s="44" t="n">
        <x:f>F31+E32-D32</x:f>
        <x:v>129758.63</x:v>
      </x:c>
    </x:row>
    <x:row r="33">
      <x:c r="A33" s="42" t="n">
        <x:v>46074</x:v>
      </x:c>
      <x:c r="B33" s="16" t="str">
        <x:v>ACH Debit - BluePeak Warehouse - storage charge</x:v>
      </x:c>
      <x:c r="C33" t="str">
        <x:v>ACH-WHSE</x:v>
      </x:c>
      <x:c r="D33" s="44" t="n">
        <x:v>1850</x:v>
      </x:c>
      <x:c r="E33" s="44"/>
      <x:c r="F33" s="44" t="n">
        <x:f>F32+E33-D33</x:f>
        <x:v>127908.63</x:v>
      </x:c>
    </x:row>
    <x:row r="34">
      <x:c r="A34" s="42" t="n">
        <x:v>46075</x:v>
      </x:c>
      <x:c r="B34" s="16" t="str">
        <x:v>Check - Shenandoah Electronics - control panels</x:v>
      </x:c>
      <x:c r="C34" t="str">
        <x:v>1025</x:v>
      </x:c>
      <x:c r="D34" s="44" t="n">
        <x:v>5260</x:v>
      </x:c>
      <x:c r="E34" s="44"/>
      <x:c r="F34" s="44" t="n">
        <x:f>F33+E34-D34</x:f>
        <x:v>122648.63</x:v>
      </x:c>
    </x:row>
    <x:row r="35">
      <x:c r="A35" s="42" t="n">
        <x:v>46076</x:v>
      </x:c>
      <x:c r="B35" s="16" t="str">
        <x:v>ACH Credit - Capital Hardware Group - customer payment</x:v>
      </x:c>
      <x:c r="C35" t="str">
        <x:v>DEP-2008</x:v>
      </x:c>
      <x:c r="D35" s="44"/>
      <x:c r="E35" s="44" t="n">
        <x:v>9700</x:v>
      </x:c>
      <x:c r="F35" s="44" t="n">
        <x:f>F34+E35-D35</x:f>
        <x:v>132348.63</x:v>
      </x:c>
    </x:row>
    <x:row r="36">
      <x:c r="A36" s="42" t="n">
        <x:v>46077</x:v>
      </x:c>
      <x:c r="B36" s="16" t="str">
        <x:v>ACH Debit - Employee expense reimbursements</x:v>
      </x:c>
      <x:c r="C36" t="str">
        <x:v>ACH-ER</x:v>
      </x:c>
      <x:c r="D36" s="44" t="n">
        <x:v>1115</x:v>
      </x:c>
      <x:c r="E36" s="44"/>
      <x:c r="F36" s="44" t="n">
        <x:f>F35+E36-D36</x:f>
        <x:v>131233.63</x:v>
      </x:c>
    </x:row>
    <x:row r="37">
      <x:c r="A37" s="42" t="n">
        <x:v>46078</x:v>
      </x:c>
      <x:c r="B37" s="16" t="str">
        <x:v>ACH Credit - Norfolk Modular Systems - customer payment</x:v>
      </x:c>
      <x:c r="C37" t="str">
        <x:v>DEP-2009</x:v>
      </x:c>
      <x:c r="D37" s="44"/>
      <x:c r="E37" s="44" t="n">
        <x:v>14600</x:v>
      </x:c>
      <x:c r="F37" s="44" t="n">
        <x:f>F36+E37-D37</x:f>
        <x:v>145833.63</x:v>
      </x:c>
    </x:row>
    <x:row r="38">
      <x:c r="A38" s="42" t="n">
        <x:v>46079</x:v>
      </x:c>
      <x:c r="B38" s="16" t="str">
        <x:v>Check - Capital Packaging Co. - packaging supplies</x:v>
      </x:c>
      <x:c r="C38" t="str">
        <x:v>1026</x:v>
      </x:c>
      <x:c r="D38" s="44" t="n">
        <x:v>2050</x:v>
      </x:c>
      <x:c r="E38" s="44"/>
      <x:c r="F38" s="44" t="n">
        <x:f>F37+E38-D38</x:f>
        <x:v>143783.63</x:v>
      </x:c>
    </x:row>
    <x:row r="39">
      <x:c r="A39" s="42" t="n">
        <x:v>46080</x:v>
      </x:c>
      <x:c r="B39" s="16" t="str">
        <x:v>ACH Debit - Federal tax deposit</x:v>
      </x:c>
      <x:c r="C39" t="str">
        <x:v>ACH-FEDTAX</x:v>
      </x:c>
      <x:c r="D39" s="44" t="n">
        <x:v>6295</x:v>
      </x:c>
      <x:c r="E39" s="44"/>
      <x:c r="F39" s="44" t="n">
        <x:f>F38+E39-D39</x:f>
        <x:v>137488.63</x:v>
      </x:c>
    </x:row>
    <x:row r="40">
      <x:c r="A40" s="42" t="n">
        <x:v>46081</x:v>
      </x:c>
      <x:c r="B40" s="16" t="str">
        <x:v>Wire Debit - Atlantic Commercial Bank - monthly loan payment</x:v>
      </x:c>
      <x:c r="C40" t="str">
        <x:v>WIRE-LOAN</x:v>
      </x:c>
      <x:c r="D40" s="44" t="n">
        <x:v>3818.22</x:v>
      </x:c>
      <x:c r="E40" s="44"/>
      <x:c r="F40" s="44" t="n">
        <x:f>F39+E40-D40</x:f>
        <x:v>133670.41</x:v>
      </x:c>
    </x:row>
    <x:row r="41">
      <x:c r="A41" s="42" t="n">
        <x:v>46081</x:v>
      </x:c>
      <x:c r="B41" s="16" t="str">
        <x:v>Interest - Interest earned on operating account</x:v>
      </x:c>
      <x:c r="C41" t="str">
        <x:v>INT-002</x:v>
      </x:c>
      <x:c r="D41" s="44"/>
      <x:c r="E41" s="44" t="n">
        <x:v>18.75</x:v>
      </x:c>
      <x:c r="F41" s="44" t="n">
        <x:f>F40+E41-D41</x:f>
        <x:v>133689.16</x:v>
      </x:c>
    </x:row>
    <x:row r="42">
      <x:c r="A42" s="42" t="n">
        <x:v>46081</x:v>
      </x:c>
      <x:c r="B42" s="16" t="str">
        <x:v>ACH Debit - QuickShip Logistics - delivery services</x:v>
      </x:c>
      <x:c r="C42" t="str">
        <x:v>ACH-SHIP</x:v>
      </x:c>
      <x:c r="D42" s="44" t="n">
        <x:v>830</x:v>
      </x:c>
      <x:c r="E42" s="44"/>
      <x:c r="F42" s="44" t="n">
        <x:f>F41+E42-D42</x:f>
        <x:v>132859.16</x:v>
      </x:c>
    </x:row>
    <x:row r="43">
      <x:c r="A43" s="42" t="n">
        <x:v>46081</x:v>
      </x:c>
      <x:c r="B43" s="16" t="str">
        <x:v>ACH Credit - Blue Ridge Fixtures Inc. - customer payment</x:v>
      </x:c>
      <x:c r="C43" t="str">
        <x:v>DEP-2010</x:v>
      </x:c>
      <x:c r="D43" s="44"/>
      <x:c r="E43" s="44" t="n">
        <x:v>11650</x:v>
      </x:c>
      <x:c r="F43" s="44" t="n">
        <x:f>F42+E43-D43</x:f>
        <x:v>144509.16</x:v>
      </x:c>
    </x:row>
    <x:row r="44">
      <x:c r="A44" s="42" t="n">
        <x:v>46081</x:v>
      </x:c>
      <x:c r="B44" s="16" t="str">
        <x:v>ACH Debit - Capital Leasing - equipment lease payment</x:v>
      </x:c>
      <x:c r="C44" t="str">
        <x:v>ACH-LEASE</x:v>
      </x:c>
      <x:c r="D44" s="44" t="n">
        <x:v>950</x:v>
      </x:c>
      <x:c r="E44" s="44"/>
      <x:c r="F44" s="44" t="n">
        <x:f>F43+E44-D44</x:f>
        <x:v>143559.16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9790d96e09a48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28" hidden="0" customWidth="1"/>
    <x:col min="5" max="5" width="48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36" hidden="0" customWidth="1"/>
  </x:cols>
  <x:sheetData>
    <x:row r="1" ht="24" customHeight="1">
      <x:c r="A1" s="4" t="str">
        <x:v>QuickBooks Register Extract - Operating Checking (February 2026)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33" t="str">
        <x:v>Starting Book Balance</x:v>
      </x:c>
      <x:c r="B3" s="36" t="n">
        <x:v>107993.63</x:v>
      </x:c>
    </x:row>
    <x:row r="6">
      <x:c r="A6" s="39" t="str">
        <x:v>Date</x:v>
      </x:c>
      <x:c r="B6" s="39" t="str">
        <x:v>Type</x:v>
      </x:c>
      <x:c r="C6" s="39" t="str">
        <x:v>No./Ref</x:v>
      </x:c>
      <x:c r="D6" s="39" t="str">
        <x:v>Name</x:v>
      </x:c>
      <x:c r="E6" s="39" t="str">
        <x:v>Memo</x:v>
      </x:c>
      <x:c r="F6" s="39" t="str">
        <x:v>Payment</x:v>
      </x:c>
      <x:c r="G6" s="39" t="str">
        <x:v>Deposit</x:v>
      </x:c>
      <x:c r="H6" s="39" t="str">
        <x:v>Book Balance</x:v>
      </x:c>
      <x:c r="I6" s="39" t="str">
        <x:v>Cleared?</x:v>
      </x:c>
      <x:c r="J6" s="39" t="str">
        <x:v>Student Notes</x:v>
      </x:c>
    </x:row>
    <x:row r="7">
      <x:c r="A7" s="42" t="n">
        <x:v>46055</x:v>
      </x:c>
      <x:c r="B7" t="str">
        <x:v>Expense</x:v>
      </x:c>
      <x:c r="C7" t="str">
        <x:v>ACH-RENT</x:v>
      </x:c>
      <x:c r="D7" t="str">
        <x:v>Northern VA Commercial Realty</x:v>
      </x:c>
      <x:c r="E7" s="16" t="str">
        <x:v>Northern VA Commercial Realty - February rent</x:v>
      </x:c>
      <x:c r="F7" s="44" t="n">
        <x:v>12750</x:v>
      </x:c>
      <x:c r="G7" s="44"/>
      <x:c r="H7" s="44" t="n">
        <x:f>$B$3-F7+G7</x:f>
        <x:v>95243.63</x:v>
      </x:c>
      <x:c r="I7" t="str"/>
      <x:c r="J7" s="16" t="str"/>
    </x:row>
    <x:row r="8">
      <x:c r="A8" s="42" t="n">
        <x:v>46055</x:v>
      </x:c>
      <x:c r="B8" t="str">
        <x:v>Deposit</x:v>
      </x:c>
      <x:c r="C8" t="str">
        <x:v>DEP-2001</x:v>
      </x:c>
      <x:c r="D8" t="str">
        <x:v>Arlington Workspace Partners</x:v>
      </x:c>
      <x:c r="E8" s="16" t="str">
        <x:v>Arlington Workspace Partners - customer payment</x:v>
      </x:c>
      <x:c r="F8" s="44"/>
      <x:c r="G8" s="44" t="n">
        <x:v>14300</x:v>
      </x:c>
      <x:c r="H8" s="44" t="n">
        <x:f>H7-F8+G8</x:f>
        <x:v>109543.63</x:v>
      </x:c>
      <x:c r="I8" t="str"/>
      <x:c r="J8" s="16" t="str"/>
    </x:row>
    <x:row r="9">
      <x:c r="A9" s="42" t="n">
        <x:v>46056</x:v>
      </x:c>
      <x:c r="B9" t="str">
        <x:v>Check</x:v>
      </x:c>
      <x:c r="C9" t="str">
        <x:v>1021</x:v>
      </x:c>
      <x:c r="D9" t="str">
        <x:v>Valley Metal Supply</x:v>
      </x:c>
      <x:c r="E9" s="16" t="str">
        <x:v>Valley Metal Supply - raw materials</x:v>
      </x:c>
      <x:c r="F9" s="44" t="n">
        <x:v>6825</x:v>
      </x:c>
      <x:c r="G9" s="44"/>
      <x:c r="H9" s="44" t="n">
        <x:f>H8-F9+G9</x:f>
        <x:v>102718.63</x:v>
      </x:c>
      <x:c r="I9" t="str"/>
      <x:c r="J9" s="16" t="str"/>
    </x:row>
    <x:row r="10">
      <x:c r="A10" s="42" t="n">
        <x:v>46057</x:v>
      </x:c>
      <x:c r="B10" t="str">
        <x:v>Expense</x:v>
      </x:c>
      <x:c r="C10" t="str">
        <x:v>ACH-UTIL</x:v>
      </x:c>
      <x:c r="D10" t="str">
        <x:v>Dominion Energy</x:v>
      </x:c>
      <x:c r="E10" s="16" t="str">
        <x:v>Dominion Energy - plant utilities</x:v>
      </x:c>
      <x:c r="F10" s="44" t="n">
        <x:v>1965</x:v>
      </x:c>
      <x:c r="G10" s="44"/>
      <x:c r="H10" s="44" t="n">
        <x:f>H9-F10+G10</x:f>
        <x:v>100753.63</x:v>
      </x:c>
      <x:c r="I10" t="str"/>
      <x:c r="J10" s="16" t="str"/>
    </x:row>
    <x:row r="11">
      <x:c r="A11" s="42" t="n">
        <x:v>46058</x:v>
      </x:c>
      <x:c r="B11" t="str">
        <x:v>Deposit</x:v>
      </x:c>
      <x:c r="C11" t="str">
        <x:v>DEP-2002</x:v>
      </x:c>
      <x:c r="D11" t="str">
        <x:v>Lynchburg Millwork Co.</x:v>
      </x:c>
      <x:c r="E11" s="16" t="str">
        <x:v>Lynchburg Millwork Co. - customer payment</x:v>
      </x:c>
      <x:c r="F11" s="44"/>
      <x:c r="G11" s="44" t="n">
        <x:v>10200</x:v>
      </x:c>
      <x:c r="H11" s="44" t="n">
        <x:f>H10-F11+G11</x:f>
        <x:v>110953.63</x:v>
      </x:c>
      <x:c r="I11" t="str"/>
      <x:c r="J11" s="16" t="str"/>
    </x:row>
    <x:row r="12">
      <x:c r="A12" s="42" t="n">
        <x:v>46059</x:v>
      </x:c>
      <x:c r="B12" t="str">
        <x:v>Check</x:v>
      </x:c>
      <x:c r="C12" t="str">
        <x:v>1022</x:v>
      </x:c>
      <x:c r="D12" t="str">
        <x:v>OfficePro Supplies</x:v>
      </x:c>
      <x:c r="E12" s="16" t="str">
        <x:v>OfficePro Supplies - office supplies</x:v>
      </x:c>
      <x:c r="F12" s="44" t="n">
        <x:v>920</x:v>
      </x:c>
      <x:c r="G12" s="44"/>
      <x:c r="H12" s="44" t="n">
        <x:f>H11-F12+G12</x:f>
        <x:v>110033.63</x:v>
      </x:c>
      <x:c r="I12" t="str"/>
      <x:c r="J12" s="16" t="str"/>
    </x:row>
    <x:row r="13">
      <x:c r="A13" s="42" t="n">
        <x:v>46059</x:v>
      </x:c>
      <x:c r="B13" t="str">
        <x:v>Expense</x:v>
      </x:c>
      <x:c r="C13" t="str">
        <x:v>ACH-QBO</x:v>
      </x:c>
      <x:c r="D13" t="str">
        <x:v>Intuit QuickBooks Online subscription</x:v>
      </x:c>
      <x:c r="E13" s="16" t="str">
        <x:v>Intuit QuickBooks Online subscription</x:v>
      </x:c>
      <x:c r="F13" s="44" t="n">
        <x:v>225</x:v>
      </x:c>
      <x:c r="G13" s="44"/>
      <x:c r="H13" s="44" t="n">
        <x:f>H12-F13+G13</x:f>
        <x:v>109808.63</x:v>
      </x:c>
      <x:c r="I13" t="str"/>
      <x:c r="J13" s="16" t="str"/>
    </x:row>
    <x:row r="14">
      <x:c r="A14" s="42" t="n">
        <x:v>46060</x:v>
      </x:c>
      <x:c r="B14" t="str">
        <x:v>Deposit</x:v>
      </x:c>
      <x:c r="C14" t="str">
        <x:v>DEP-2003</x:v>
      </x:c>
      <x:c r="D14" t="str">
        <x:v>Bristol Cabinetry</x:v>
      </x:c>
      <x:c r="E14" s="16" t="str">
        <x:v>Bristol Cabinetry - customer payment</x:v>
      </x:c>
      <x:c r="F14" s="44"/>
      <x:c r="G14" s="44" t="n">
        <x:v>16750</x:v>
      </x:c>
      <x:c r="H14" s="44" t="n">
        <x:f>H13-F14+G14</x:f>
        <x:v>126558.63</x:v>
      </x:c>
      <x:c r="I14" t="str"/>
      <x:c r="J14" s="16" t="str"/>
    </x:row>
    <x:row r="15">
      <x:c r="A15" s="42" t="n">
        <x:v>46061</x:v>
      </x:c>
      <x:c r="B15" t="str">
        <x:v>Expense</x:v>
      </x:c>
      <x:c r="C15" t="str">
        <x:v>ACH-FRT</x:v>
      </x:c>
      <x:c r="D15" t="str">
        <x:v>Atlantic Freight Lines</x:v>
      </x:c>
      <x:c r="E15" s="16" t="str">
        <x:v>Atlantic Freight Lines - freight bill</x:v>
      </x:c>
      <x:c r="F15" s="44" t="n">
        <x:v>1840</x:v>
      </x:c>
      <x:c r="G15" s="44"/>
      <x:c r="H15" s="44" t="n">
        <x:f>H14-F15+G15</x:f>
        <x:v>124718.63</x:v>
      </x:c>
      <x:c r="I15" t="str"/>
      <x:c r="J15" s="16" t="str"/>
    </x:row>
    <x:row r="16">
      <x:c r="A16" s="42" t="n">
        <x:v>46062</x:v>
      </x:c>
      <x:c r="B16" t="str">
        <x:v>Bill Payment</x:v>
      </x:c>
      <x:c r="C16" t="str">
        <x:v>WIRE-2001</x:v>
      </x:c>
      <x:c r="D16" t="str">
        <x:v>Precision Plastics</x:v>
      </x:c>
      <x:c r="E16" s="16" t="str">
        <x:v>Precision Plastics - inventory purchase</x:v>
      </x:c>
      <x:c r="F16" s="44" t="n">
        <x:v>15400</x:v>
      </x:c>
      <x:c r="G16" s="44"/>
      <x:c r="H16" s="44" t="n">
        <x:f>H15-F16+G16</x:f>
        <x:v>109318.63</x:v>
      </x:c>
      <x:c r="I16" t="str"/>
      <x:c r="J16" s="16" t="str"/>
    </x:row>
    <x:row r="17">
      <x:c r="A17" s="42" t="n">
        <x:v>46063</x:v>
      </x:c>
      <x:c r="B17" t="str">
        <x:v>Expense</x:v>
      </x:c>
      <x:c r="C17" t="str">
        <x:v>ACH-PAYTAX</x:v>
      </x:c>
      <x:c r="D17" t="str">
        <x:v>ADP Payroll Tax Withdrawal</x:v>
      </x:c>
      <x:c r="E17" s="16" t="str">
        <x:v>ADP Payroll Tax Withdrawal</x:v>
      </x:c>
      <x:c r="F17" s="44" t="n">
        <x:v>3540</x:v>
      </x:c>
      <x:c r="G17" s="44"/>
      <x:c r="H17" s="44" t="n">
        <x:f>H16-F17+G17</x:f>
        <x:v>105778.63</x:v>
      </x:c>
      <x:c r="I17" t="str"/>
      <x:c r="J17" s="16" t="str"/>
    </x:row>
    <x:row r="18">
      <x:c r="A18" s="42" t="n">
        <x:v>46063</x:v>
      </x:c>
      <x:c r="B18" t="str">
        <x:v>Deposit</x:v>
      </x:c>
      <x:c r="C18" t="str">
        <x:v>DEP-2004</x:v>
      </x:c>
      <x:c r="D18" t="str">
        <x:v>Alexandria Contractors</x:v>
      </x:c>
      <x:c r="E18" s="16" t="str">
        <x:v>Alexandria Contractors - customer payment</x:v>
      </x:c>
      <x:c r="F18" s="44"/>
      <x:c r="G18" s="44" t="n">
        <x:v>11250</x:v>
      </x:c>
      <x:c r="H18" s="44" t="n">
        <x:f>H17-F18+G18</x:f>
        <x:v>117028.63</x:v>
      </x:c>
      <x:c r="I18" t="str"/>
      <x:c r="J18" s="16" t="str"/>
    </x:row>
    <x:row r="19">
      <x:c r="A19" s="42" t="n">
        <x:v>46064</x:v>
      </x:c>
      <x:c r="B19" t="str">
        <x:v>Expense</x:v>
      </x:c>
      <x:c r="C19" t="str">
        <x:v>FEE-002</x:v>
      </x:c>
      <x:c r="D19" t="str">
        <x:v>Monthly bank service charge</x:v>
      </x:c>
      <x:c r="E19" s="16" t="str">
        <x:v>Monthly bank service charge</x:v>
      </x:c>
      <x:c r="F19" s="44" t="n">
        <x:v>35</x:v>
      </x:c>
      <x:c r="G19" s="44"/>
      <x:c r="H19" s="44" t="n">
        <x:f>H18-F19+G19</x:f>
        <x:v>116993.63</x:v>
      </x:c>
      <x:c r="I19" t="str"/>
      <x:c r="J19" s="16" t="str"/>
    </x:row>
    <x:row r="20">
      <x:c r="A20" s="42" t="n">
        <x:v>46065</x:v>
      </x:c>
      <x:c r="B20" t="str">
        <x:v>Check</x:v>
      </x:c>
      <x:c r="C20" t="str">
        <x:v>1023</x:v>
      </x:c>
      <x:c r="D20" t="str">
        <x:v>Precision Packaging</x:v>
      </x:c>
      <x:c r="E20" s="16" t="str">
        <x:v>Precision Packaging - cartons and labels</x:v>
      </x:c>
      <x:c r="F20" s="44" t="n">
        <x:v>3180</x:v>
      </x:c>
      <x:c r="G20" s="44"/>
      <x:c r="H20" s="44" t="n">
        <x:f>H19-F20+G20</x:f>
        <x:v>113813.63</x:v>
      </x:c>
      <x:c r="I20" t="str"/>
      <x:c r="J20" s="16" t="str"/>
    </x:row>
    <x:row r="21">
      <x:c r="A21" s="42" t="n">
        <x:v>46066</x:v>
      </x:c>
      <x:c r="B21" t="str">
        <x:v>Expense</x:v>
      </x:c>
      <x:c r="C21" t="str">
        <x:v>ACH-TEL</x:v>
      </x:c>
      <x:c r="D21" t="str">
        <x:v>Verizon Business</x:v>
      </x:c>
      <x:c r="E21" s="16" t="str">
        <x:v>Verizon Business - internet and phone</x:v>
      </x:c>
      <x:c r="F21" s="44" t="n">
        <x:v>620</x:v>
      </x:c>
      <x:c r="G21" s="44"/>
      <x:c r="H21" s="44" t="n">
        <x:f>H20-F21+G21</x:f>
        <x:v>113193.63</x:v>
      </x:c>
      <x:c r="I21" t="str"/>
      <x:c r="J21" s="16" t="str"/>
    </x:row>
    <x:row r="22">
      <x:c r="A22" s="42" t="n">
        <x:v>46067</x:v>
      </x:c>
      <x:c r="B22" t="str">
        <x:v>Deposit</x:v>
      </x:c>
      <x:c r="C22" t="str">
        <x:v>DEP-2005</x:v>
      </x:c>
      <x:c r="D22" t="str">
        <x:v>Dulles Industrial Interiors</x:v>
      </x:c>
      <x:c r="E22" s="16" t="str">
        <x:v>Dulles Industrial Interiors - customer payment</x:v>
      </x:c>
      <x:c r="F22" s="44"/>
      <x:c r="G22" s="44" t="n">
        <x:v>13400</x:v>
      </x:c>
      <x:c r="H22" s="44" t="n">
        <x:f>H21-F22+G22</x:f>
        <x:v>126593.63</x:v>
      </x:c>
      <x:c r="I22" t="str"/>
      <x:c r="J22" s="16" t="str"/>
    </x:row>
    <x:row r="23">
      <x:c r="A23" s="42" t="n">
        <x:v>46068</x:v>
      </x:c>
      <x:c r="B23" t="str">
        <x:v>Expense</x:v>
      </x:c>
      <x:c r="C23" t="str">
        <x:v>ACH-PAYROLL</x:v>
      </x:c>
      <x:c r="D23" t="str">
        <x:v>Net payroll direct deposit</x:v>
      </x:c>
      <x:c r="E23" s="16" t="str">
        <x:v>Net payroll direct deposit</x:v>
      </x:c>
      <x:c r="F23" s="44" t="n">
        <x:v>23100</x:v>
      </x:c>
      <x:c r="G23" s="44"/>
      <x:c r="H23" s="44" t="n">
        <x:f>H22-F23+G23</x:f>
        <x:v>103493.63</x:v>
      </x:c>
      <x:c r="I23" t="str"/>
      <x:c r="J23" s="16" t="str"/>
    </x:row>
    <x:row r="24">
      <x:c r="A24" s="42" t="n">
        <x:v>46069</x:v>
      </x:c>
      <x:c r="B24" t="str">
        <x:v>Deposit</x:v>
      </x:c>
      <x:c r="C24" t="str">
        <x:v>DEP-2006</x:v>
      </x:c>
      <x:c r="D24" t="str">
        <x:v>Prince William Schools</x:v>
      </x:c>
      <x:c r="E24" s="16" t="str">
        <x:v>Prince William Schools - customer payment</x:v>
      </x:c>
      <x:c r="F24" s="44"/>
      <x:c r="G24" s="44" t="n">
        <x:v>21800</x:v>
      </x:c>
      <x:c r="H24" s="44" t="n">
        <x:f>H23-F24+G24</x:f>
        <x:v>125293.63</x:v>
      </x:c>
      <x:c r="I24" t="str"/>
      <x:c r="J24" s="16" t="str"/>
    </x:row>
    <x:row r="25">
      <x:c r="A25" s="42" t="n">
        <x:v>46070</x:v>
      </x:c>
      <x:c r="B25" t="str">
        <x:v>Expense</x:v>
      </x:c>
      <x:c r="C25" t="str">
        <x:v>ACH-INS</x:v>
      </x:c>
      <x:c r="D25" t="str">
        <x:v>Patriot Insurance Agency</x:v>
      </x:c>
      <x:c r="E25" s="16" t="str">
        <x:v>Patriot Insurance Agency - monthly premium</x:v>
      </x:c>
      <x:c r="F25" s="44" t="n">
        <x:v>1280</x:v>
      </x:c>
      <x:c r="G25" s="44"/>
      <x:c r="H25" s="44" t="n">
        <x:f>H24-F25+G25</x:f>
        <x:v>124013.63</x:v>
      </x:c>
      <x:c r="I25" t="str"/>
      <x:c r="J25" s="16" t="str"/>
    </x:row>
    <x:row r="26">
      <x:c r="A26" s="42" t="n">
        <x:v>46071</x:v>
      </x:c>
      <x:c r="B26" t="str">
        <x:v>Check</x:v>
      </x:c>
      <x:c r="C26" t="str">
        <x:v>1024</x:v>
      </x:c>
      <x:c r="D26" t="str">
        <x:v>Riverbend Tooling</x:v>
      </x:c>
      <x:c r="E26" s="16" t="str">
        <x:v>Riverbend Tooling - machine repair parts</x:v>
      </x:c>
      <x:c r="F26" s="44" t="n">
        <x:v>4025</x:v>
      </x:c>
      <x:c r="G26" s="44"/>
      <x:c r="H26" s="44" t="n">
        <x:f>H25-F26+G26</x:f>
        <x:v>119988.63</x:v>
      </x:c>
      <x:c r="I26" t="str"/>
      <x:c r="J26" s="16" t="str"/>
    </x:row>
    <x:row r="27">
      <x:c r="A27" s="42" t="n">
        <x:v>46072</x:v>
      </x:c>
      <x:c r="B27" t="str">
        <x:v>Expense</x:v>
      </x:c>
      <x:c r="C27" t="str">
        <x:v>ACH-SALESTAX</x:v>
      </x:c>
      <x:c r="D27" t="str">
        <x:v>Virginia sales tax payment</x:v>
      </x:c>
      <x:c r="E27" s="16" t="str">
        <x:v>Virginia sales tax payment</x:v>
      </x:c>
      <x:c r="F27" s="44" t="n">
        <x:v>2680</x:v>
      </x:c>
      <x:c r="G27" s="44"/>
      <x:c r="H27" s="44" t="n">
        <x:f>H26-F27+G27</x:f>
        <x:v>117308.63</x:v>
      </x:c>
      <x:c r="I27" t="str"/>
      <x:c r="J27" s="16" t="str"/>
    </x:row>
    <x:row r="28">
      <x:c r="A28" s="42" t="n">
        <x:v>46073</x:v>
      </x:c>
      <x:c r="B28" t="str">
        <x:v>Deposit</x:v>
      </x:c>
      <x:c r="C28" t="str">
        <x:v>DEP-2007</x:v>
      </x:c>
      <x:c r="D28" t="str">
        <x:v>Albemarle Healthcare Facilities</x:v>
      </x:c>
      <x:c r="E28" s="16" t="str">
        <x:v>Albemarle Healthcare Facilities - customer payment</x:v>
      </x:c>
      <x:c r="F28" s="44"/>
      <x:c r="G28" s="44" t="n">
        <x:v>12500</x:v>
      </x:c>
      <x:c r="H28" s="44" t="n">
        <x:f>H27-F28+G28</x:f>
        <x:v>129808.63</x:v>
      </x:c>
      <x:c r="I28" t="str"/>
      <x:c r="J28" s="16" t="str"/>
    </x:row>
    <x:row r="29">
      <x:c r="A29" s="42" t="n">
        <x:v>46074</x:v>
      </x:c>
      <x:c r="B29" t="str">
        <x:v>Expense</x:v>
      </x:c>
      <x:c r="C29" t="str">
        <x:v>ACH-WHSE</x:v>
      </x:c>
      <x:c r="D29" t="str">
        <x:v>BluePeak Warehouse</x:v>
      </x:c>
      <x:c r="E29" s="16" t="str">
        <x:v>BluePeak Warehouse - storage charge</x:v>
      </x:c>
      <x:c r="F29" s="44" t="n">
        <x:v>1850</x:v>
      </x:c>
      <x:c r="G29" s="44"/>
      <x:c r="H29" s="44" t="n">
        <x:f>H28-F29+G29</x:f>
        <x:v>127958.63</x:v>
      </x:c>
      <x:c r="I29" t="str"/>
      <x:c r="J29" s="16" t="str"/>
    </x:row>
    <x:row r="30">
      <x:c r="A30" s="42" t="n">
        <x:v>46075</x:v>
      </x:c>
      <x:c r="B30" t="str">
        <x:v>Check</x:v>
      </x:c>
      <x:c r="C30" t="str">
        <x:v>1025</x:v>
      </x:c>
      <x:c r="D30" t="str">
        <x:v>Shenandoah Electronics</x:v>
      </x:c>
      <x:c r="E30" s="16" t="str">
        <x:v>Shenandoah Electronics - control panels</x:v>
      </x:c>
      <x:c r="F30" s="44" t="n">
        <x:v>5260</x:v>
      </x:c>
      <x:c r="G30" s="44"/>
      <x:c r="H30" s="44" t="n">
        <x:f>H29-F30+G30</x:f>
        <x:v>122698.63</x:v>
      </x:c>
      <x:c r="I30" t="str"/>
      <x:c r="J30" s="16" t="str"/>
    </x:row>
    <x:row r="31">
      <x:c r="A31" s="42" t="n">
        <x:v>46076</x:v>
      </x:c>
      <x:c r="B31" t="str">
        <x:v>Deposit</x:v>
      </x:c>
      <x:c r="C31" t="str">
        <x:v>DEP-2008</x:v>
      </x:c>
      <x:c r="D31" t="str">
        <x:v>Capital Hardware Group</x:v>
      </x:c>
      <x:c r="E31" s="16" t="str">
        <x:v>Capital Hardware Group - customer payment</x:v>
      </x:c>
      <x:c r="F31" s="44"/>
      <x:c r="G31" s="44" t="n">
        <x:v>9700</x:v>
      </x:c>
      <x:c r="H31" s="44" t="n">
        <x:f>H30-F31+G31</x:f>
        <x:v>132398.63</x:v>
      </x:c>
      <x:c r="I31" t="str"/>
      <x:c r="J31" s="16" t="str"/>
    </x:row>
    <x:row r="32">
      <x:c r="A32" s="42" t="n">
        <x:v>46077</x:v>
      </x:c>
      <x:c r="B32" t="str">
        <x:v>Expense</x:v>
      </x:c>
      <x:c r="C32" t="str">
        <x:v>ACH-ER</x:v>
      </x:c>
      <x:c r="D32" t="str">
        <x:v>Employee expense reimbursements</x:v>
      </x:c>
      <x:c r="E32" s="16" t="str">
        <x:v>Employee expense reimbursements</x:v>
      </x:c>
      <x:c r="F32" s="44" t="n">
        <x:v>1115</x:v>
      </x:c>
      <x:c r="G32" s="44"/>
      <x:c r="H32" s="44" t="n">
        <x:f>H31-F32+G32</x:f>
        <x:v>131283.63</x:v>
      </x:c>
      <x:c r="I32" t="str"/>
      <x:c r="J32" s="16" t="str"/>
    </x:row>
    <x:row r="33">
      <x:c r="A33" s="42" t="n">
        <x:v>46078</x:v>
      </x:c>
      <x:c r="B33" t="str">
        <x:v>Deposit</x:v>
      </x:c>
      <x:c r="C33" t="str">
        <x:v>DEP-2009</x:v>
      </x:c>
      <x:c r="D33" t="str">
        <x:v>Norfolk Modular Systems</x:v>
      </x:c>
      <x:c r="E33" s="16" t="str">
        <x:v>Norfolk Modular Systems - customer payment</x:v>
      </x:c>
      <x:c r="F33" s="44"/>
      <x:c r="G33" s="44" t="n">
        <x:v>14600</x:v>
      </x:c>
      <x:c r="H33" s="44" t="n">
        <x:f>H32-F33+G33</x:f>
        <x:v>145883.63</x:v>
      </x:c>
      <x:c r="I33" t="str"/>
      <x:c r="J33" s="16" t="str"/>
    </x:row>
    <x:row r="34">
      <x:c r="A34" s="42" t="n">
        <x:v>46079</x:v>
      </x:c>
      <x:c r="B34" t="str">
        <x:v>Check</x:v>
      </x:c>
      <x:c r="C34" t="str">
        <x:v>1026</x:v>
      </x:c>
      <x:c r="D34" t="str">
        <x:v>Capital Packaging Co.</x:v>
      </x:c>
      <x:c r="E34" s="16" t="str">
        <x:v>Capital Packaging Co. - packaging supplies</x:v>
      </x:c>
      <x:c r="F34" s="44" t="n">
        <x:v>2050</x:v>
      </x:c>
      <x:c r="G34" s="44"/>
      <x:c r="H34" s="44" t="n">
        <x:f>H33-F34+G34</x:f>
        <x:v>143833.63</x:v>
      </x:c>
      <x:c r="I34" t="str"/>
      <x:c r="J34" s="16" t="str"/>
    </x:row>
    <x:row r="35">
      <x:c r="A35" s="42" t="n">
        <x:v>46080</x:v>
      </x:c>
      <x:c r="B35" t="str">
        <x:v>Check</x:v>
      </x:c>
      <x:c r="C35" t="str">
        <x:v>1042</x:v>
      </x:c>
      <x:c r="D35" t="str">
        <x:v>Precision Plastics</x:v>
      </x:c>
      <x:c r="E35" s="16" t="str">
        <x:v>Precision Plastics - check mailed, not yet cleared</x:v>
      </x:c>
      <x:c r="F35" s="44" t="n">
        <x:v>3640</x:v>
      </x:c>
      <x:c r="G35" s="44"/>
      <x:c r="H35" s="44" t="n">
        <x:f>H34-F35+G35</x:f>
        <x:v>140193.63</x:v>
      </x:c>
      <x:c r="I35" t="str"/>
      <x:c r="J35" s="16" t="str"/>
    </x:row>
    <x:row r="36">
      <x:c r="A36" s="42" t="n">
        <x:v>46080</x:v>
      </x:c>
      <x:c r="B36" t="str">
        <x:v>Expense</x:v>
      </x:c>
      <x:c r="C36" t="str">
        <x:v>ACH-FEDTAX</x:v>
      </x:c>
      <x:c r="D36" t="str">
        <x:v>Federal tax deposit</x:v>
      </x:c>
      <x:c r="E36" s="16" t="str">
        <x:v>Federal tax deposit</x:v>
      </x:c>
      <x:c r="F36" s="44" t="n">
        <x:v>6295</x:v>
      </x:c>
      <x:c r="G36" s="44"/>
      <x:c r="H36" s="44" t="n">
        <x:f>H35-F36+G36</x:f>
        <x:v>133898.63</x:v>
      </x:c>
      <x:c r="I36" t="str"/>
      <x:c r="J36" s="16" t="str"/>
    </x:row>
    <x:row r="37">
      <x:c r="A37" s="42" t="n">
        <x:v>46081</x:v>
      </x:c>
      <x:c r="B37" t="str">
        <x:v>Expense</x:v>
      </x:c>
      <x:c r="C37" t="str">
        <x:v>ACH-LEASE</x:v>
      </x:c>
      <x:c r="D37" t="str">
        <x:v>Capital Leasing</x:v>
      </x:c>
      <x:c r="E37" s="16" t="str">
        <x:v>Capital Leasing - equipment lease payment</x:v>
      </x:c>
      <x:c r="F37" s="44" t="n">
        <x:v>950</x:v>
      </x:c>
      <x:c r="G37" s="44"/>
      <x:c r="H37" s="44" t="n">
        <x:f>H36-F37+G37</x:f>
        <x:v>132948.63</x:v>
      </x:c>
      <x:c r="I37" t="str"/>
      <x:c r="J37" s="16" t="str"/>
    </x:row>
    <x:row r="38">
      <x:c r="A38" s="42" t="n">
        <x:v>46081</x:v>
      </x:c>
      <x:c r="B38" t="str">
        <x:v>Expense</x:v>
      </x:c>
      <x:c r="C38" t="str">
        <x:v>ACH-SHIP</x:v>
      </x:c>
      <x:c r="D38" t="str">
        <x:v>QuickShip Logistics</x:v>
      </x:c>
      <x:c r="E38" s="16" t="str">
        <x:v>QuickShip Logistics - delivery services</x:v>
      </x:c>
      <x:c r="F38" s="44" t="n">
        <x:v>830</x:v>
      </x:c>
      <x:c r="G38" s="44"/>
      <x:c r="H38" s="44" t="n">
        <x:f>H37-F38+G38</x:f>
        <x:v>132118.63</x:v>
      </x:c>
      <x:c r="I38" t="str"/>
      <x:c r="J38" s="16" t="str"/>
    </x:row>
    <x:row r="39">
      <x:c r="A39" s="42" t="n">
        <x:v>46081</x:v>
      </x:c>
      <x:c r="B39" t="str">
        <x:v>Deposit</x:v>
      </x:c>
      <x:c r="C39" t="str">
        <x:v>DEP-2010</x:v>
      </x:c>
      <x:c r="D39" t="str">
        <x:v>Blue Ridge Fixtures Inc.</x:v>
      </x:c>
      <x:c r="E39" s="16" t="str">
        <x:v>Blue Ridge Fixtures Inc. - customer payment</x:v>
      </x:c>
      <x:c r="F39" s="44"/>
      <x:c r="G39" s="44" t="n">
        <x:v>11650</x:v>
      </x:c>
      <x:c r="H39" s="44" t="n">
        <x:f>H38-F39+G39</x:f>
        <x:v>143768.63</x:v>
      </x:c>
      <x:c r="I39" t="str"/>
      <x:c r="J39" s="16" t="str"/>
    </x:row>
    <x:row r="40">
      <x:c r="A40" s="42" t="n">
        <x:v>46081</x:v>
      </x:c>
      <x:c r="B40" t="str">
        <x:v>Bill Payment</x:v>
      </x:c>
      <x:c r="C40" t="str">
        <x:v>WIRE-LOAN</x:v>
      </x:c>
      <x:c r="D40" t="str">
        <x:v>Atlantic Commercial Bank</x:v>
      </x:c>
      <x:c r="E40" s="16" t="str">
        <x:v>Atlantic Commercial Bank - monthly loan payment</x:v>
      </x:c>
      <x:c r="F40" s="44" t="n">
        <x:v>3818.22</x:v>
      </x:c>
      <x:c r="G40" s="44"/>
      <x:c r="H40" s="44" t="n">
        <x:f>H39-F40+G40</x:f>
        <x:v>139950.41</x:v>
      </x:c>
      <x:c r="I40" t="str"/>
      <x:c r="J40" s="16" t="str"/>
    </x:row>
  </x:sheetData>
  <x:mergeCells>
    <x:mergeCell ref="A1:J1"/>
  </x:mergeCells>
  <x:dataValidations count="1">
    <x:dataValidation type="list" sqref="I7:I40">
      <x:formula1>"Yes,No,Investigate"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0991f014de47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3" hidden="0" customWidth="1"/>
    <x:col min="4" max="4" width="48" hidden="0" customWidth="1"/>
  </x:cols>
  <x:sheetData>
    <x:row r="1" ht="24" customHeight="1">
      <x:c r="A1" s="4" t="str">
        <x:v>February 2026 Bank Reconciliation Worksheet</x:v>
      </x:c>
      <x:c r="B1" s="4"/>
      <x:c r="C1" s="4"/>
      <x:c r="D1" s="62"/>
    </x:row>
    <x:row r="3">
      <x:c r="A3" s="20" t="str">
        <x:v>Instructions</x:v>
      </x:c>
      <x:c r="B3" s="20" t="str">
        <x:v>Enter student answers in yellow cells. Use positive numbers unless the row says +/-.</x:v>
      </x:c>
      <x:c r="C3" s="20" t="str"/>
      <x:c r="D3" s="20" t="str"/>
    </x:row>
    <x:row r="5">
      <x:c r="A5" s="11" t="str">
        <x:v>Bank Side</x:v>
      </x:c>
      <x:c r="B5" s="11" t="str"/>
      <x:c r="C5" s="11" t="str"/>
      <x:c r="D5" s="11" t="str"/>
    </x:row>
    <x:row r="6">
      <x:c r="A6" t="str">
        <x:v>Bank statement ending balance</x:v>
      </x:c>
      <x:c r="B6" s="44" t="n">
        <x:f>'Bank Statement'!E7</x:f>
        <x:v>143559.16</x:v>
      </x:c>
      <x:c r="C6" t="str"/>
      <x:c r="D6" t="str">
        <x:v>Pulled from bank statement summary</x:v>
      </x:c>
    </x:row>
    <x:row r="7">
      <x:c r="A7" t="str">
        <x:v>Add: deposits in transit</x:v>
      </x:c>
      <x:c r="B7" s="54" t="str"/>
      <x:c r="C7" t="str"/>
      <x:c r="D7" t="str">
        <x:v>Student input</x:v>
      </x:c>
    </x:row>
    <x:row r="8">
      <x:c r="A8" t="str">
        <x:v>Less: outstanding checks</x:v>
      </x:c>
      <x:c r="B8" s="54" t="str"/>
      <x:c r="C8" t="str"/>
      <x:c r="D8" t="str">
        <x:v>Student input</x:v>
      </x:c>
    </x:row>
    <x:row r="9">
      <x:c r="A9" s="47" t="str">
        <x:v>Adjusted bank balance</x:v>
      </x:c>
      <x:c r="B9" s="55" t="n">
        <x:f>B6+B7-B8</x:f>
        <x:v>143559.16</x:v>
      </x:c>
      <x:c r="C9" s="47" t="str"/>
      <x:c r="D9" s="47" t="str">
        <x:v>Formula</x:v>
      </x:c>
    </x:row>
    <x:row r="10">
      <x:c r="A10" t="str"/>
      <x:c r="B10" s="44" t="str"/>
      <x:c r="C10" t="str"/>
      <x:c r="D10" t="str"/>
    </x:row>
    <x:row r="11">
      <x:c r="A11" s="11" t="str">
        <x:v>Book Side</x:v>
      </x:c>
      <x:c r="B11" s="56" t="str"/>
      <x:c r="C11" s="11" t="str"/>
      <x:c r="D11" s="11" t="str"/>
    </x:row>
    <x:row r="12">
      <x:c r="A12" t="str">
        <x:v>QuickBooks ending balance</x:v>
      </x:c>
      <x:c r="B12" s="44" t="n">
        <x:f>'QuickBooks Register'!H40</x:f>
        <x:v>139950.41</x:v>
      </x:c>
      <x:c r="C12" t="str"/>
      <x:c r="D12" t="str">
        <x:v>Pulled from QB register</x:v>
      </x:c>
    </x:row>
    <x:row r="13">
      <x:c r="A13" t="str">
        <x:v>Add: bank credits not recorded in QuickBooks</x:v>
      </x:c>
      <x:c r="B13" s="54" t="str"/>
      <x:c r="C13" t="str"/>
      <x:c r="D13" t="str">
        <x:v>Example: interest income</x:v>
      </x:c>
    </x:row>
    <x:row r="14">
      <x:c r="A14" t="str">
        <x:v>Less: bank debits not recorded in QuickBooks</x:v>
      </x:c>
      <x:c r="B14" s="54" t="str"/>
      <x:c r="C14" t="str"/>
      <x:c r="D14" t="str">
        <x:v>Example: bank fees, ACH withdrawals</x:v>
      </x:c>
    </x:row>
    <x:row r="15">
      <x:c r="A15" t="str">
        <x:v>Book correction for amount errors (+/-)</x:v>
      </x:c>
      <x:c r="B15" s="54" t="str"/>
      <x:c r="C15" t="str"/>
      <x:c r="D15" t="str">
        <x:v>Use positive or negative number</x:v>
      </x:c>
    </x:row>
    <x:row r="16">
      <x:c r="A16" t="str">
        <x:v>Less: duplicate book entries</x:v>
      </x:c>
      <x:c r="B16" s="54" t="str"/>
      <x:c r="C16" t="str"/>
      <x:c r="D16" t="str">
        <x:v>Student input</x:v>
      </x:c>
    </x:row>
    <x:row r="17">
      <x:c r="A17" s="47" t="str">
        <x:v>Adjusted book balance</x:v>
      </x:c>
      <x:c r="B17" s="55" t="n">
        <x:f>B12+B13-B14+B15-B16</x:f>
        <x:v>139950.41</x:v>
      </x:c>
      <x:c r="C17" s="47" t="str"/>
      <x:c r="D17" s="47" t="str">
        <x:v>Formula</x:v>
      </x:c>
    </x:row>
    <x:row r="18">
      <x:c r="A18" t="str"/>
      <x:c r="B18" s="44" t="str"/>
      <x:c r="C18" t="str"/>
      <x:c r="D18" t="str"/>
    </x:row>
    <x:row r="19">
      <x:c r="A19" t="str">
        <x:v>Difference: adjusted bank minus adjusted book</x:v>
      </x:c>
      <x:c r="B19" s="44" t="n">
        <x:f>B9-B17</x:f>
        <x:v>3608.75</x:v>
      </x:c>
      <x:c r="C19" t="str"/>
      <x:c r="D19" t="str">
        <x:v>Should be zero when complete</x:v>
      </x:c>
    </x:row>
    <x:row r="20">
      <x:c r="A20" s="51"/>
      <x:c r="B20" s="57"/>
      <x:c r="C20" s="51"/>
      <x:c r="D20" s="51"/>
    </x:row>
    <x:row r="23">
      <x:c r="A23" s="38" t="str">
        <x:v>Questions</x:v>
      </x:c>
      <x:c r="B23" s="38" t="str"/>
    </x:row>
    <x:row r="24">
      <x:c r="A24" t="str">
        <x:v>1</x:v>
      </x:c>
      <x:c r="B24" s="16" t="str">
        <x:v>Which bank statement transactions are missing from QuickBooks?</x:v>
      </x:c>
    </x:row>
    <x:row r="25">
      <x:c r="A25" t="str">
        <x:v>2</x:v>
      </x:c>
      <x:c r="B25" s="16" t="str">
        <x:v>Which QuickBooks transactions are outstanding and did not clear the bank this month?</x:v>
      </x:c>
    </x:row>
    <x:row r="26">
      <x:c r="A26" t="str">
        <x:v>3</x:v>
      </x:c>
      <x:c r="B26" s="16" t="str">
        <x:v>Are there any duplicate book entries? If yes, list the transaction and amount.</x:v>
      </x:c>
    </x:row>
    <x:row r="27">
      <x:c r="A27" t="str">
        <x:v>4</x:v>
      </x:c>
      <x:c r="B27" s="16" t="str">
        <x:v>Are there any wrong-amount entries? If yes, list the correct bank amount and the QuickBooks amount.</x:v>
      </x:c>
    </x:row>
    <x:row r="28">
      <x:c r="A28" t="str">
        <x:v>5</x:v>
      </x:c>
      <x:c r="B28" s="16" t="str">
        <x:v>What adjusting journal entries or corrections should be made before month-end close?</x:v>
      </x:c>
    </x:row>
  </x:sheetData>
  <x:mergeCells>
    <x:mergeCell ref="A1:D1"/>
    <x:mergeCell ref="B3:D3"/>
  </x:mergeCells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CDA72B33F704B902DF05EFF11A127" ma:contentTypeVersion="12" ma:contentTypeDescription="Create a new document." ma:contentTypeScope="" ma:versionID="c6f9a1a39b749c0b35fc296ed518e8f3">
  <xsd:schema xmlns:xsd="http://www.w3.org/2001/XMLSchema" xmlns:xs="http://www.w3.org/2001/XMLSchema" xmlns:p="http://schemas.microsoft.com/office/2006/metadata/properties" xmlns:ns2="7019b7ea-2583-48d5-9dd7-5b4a847e7ee9" xmlns:ns3="27445e43-ccdd-4da6-b549-fdecb12a794f" targetNamespace="http://schemas.microsoft.com/office/2006/metadata/properties" ma:root="true" ma:fieldsID="45a2daf967dbe5b730172693d155efad" ns2:_="" ns3:_="">
    <xsd:import namespace="7019b7ea-2583-48d5-9dd7-5b4a847e7ee9"/>
    <xsd:import namespace="27445e43-ccdd-4da6-b549-fdecb12a79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19b7ea-2583-48d5-9dd7-5b4a847e7e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0f1de3d-d31a-4396-82d5-79995a5512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445e43-ccdd-4da6-b549-fdecb12a794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f456272-03e4-4335-84cf-9ee0017832c0}" ma:internalName="TaxCatchAll" ma:showField="CatchAllData" ma:web="27445e43-ccdd-4da6-b549-fdecb12a7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019b7ea-2583-48d5-9dd7-5b4a847e7ee9">
      <Terms xmlns="http://schemas.microsoft.com/office/infopath/2007/PartnerControls"/>
    </lcf76f155ced4ddcb4097134ff3c332f>
    <TaxCatchAll xmlns="27445e43-ccdd-4da6-b549-fdecb12a794f" xsi:nil="true"/>
  </documentManagement>
</p:properties>
</file>

<file path=customXml/itemProps1.xml><?xml version="1.0" encoding="utf-8"?>
<ds:datastoreItem xmlns:ds="http://schemas.openxmlformats.org/officeDocument/2006/customXml" ds:itemID="{0C0FA084-21E7-461F-A87C-3AA60B1BEFF1}"/>
</file>

<file path=customXml/itemProps2.xml><?xml version="1.0" encoding="utf-8"?>
<ds:datastoreItem xmlns:ds="http://schemas.openxmlformats.org/officeDocument/2006/customXml" ds:itemID="{53369120-E264-4FC3-8AAA-D6F93C92790F}"/>
</file>

<file path=customXml/itemProps3.xml><?xml version="1.0" encoding="utf-8"?>
<ds:datastoreItem xmlns:ds="http://schemas.openxmlformats.org/officeDocument/2006/customXml" ds:itemID="{A7B361BE-E82B-4768-8068-C4E43CA07CD6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0x0101007FFCDA72B33F704B902DF05EFF11A127</vt:lpwstr>
  </property>
</Properties>
</file>