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ank Statement" sheetId="2" state="visible" r:id="rId2"/>
    <sheet xmlns:r="http://schemas.openxmlformats.org/officeDocument/2006/relationships" name="QuickBooks Register" sheetId="3" state="visible" r:id="rId3"/>
    <sheet xmlns:r="http://schemas.openxmlformats.org/officeDocument/2006/relationships" name="Reconciliation Worksheet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mm/dd/yyyy"/>
    <numFmt numFmtId="166" formatCode="$#,##0.00;[Red]($#,##0.00);-"/>
  </numFmts>
  <fonts count="6"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sz val="12"/>
    </font>
    <font>
      <name val="Carlito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/>
    <border/>
  </borders>
  <cellStyleXfs count="1">
    <xf numFmtId="0" fontId="0" fillId="0" borderId="1"/>
  </cellStyleXfs>
  <cellXfs count="7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0" fillId="5" borderId="0" pivotButton="0" quotePrefix="0" xfId="0"/>
    <xf numFmtId="0" fontId="2" fillId="5" borderId="0" pivotButton="0" quotePrefix="0" xfId="0"/>
    <xf numFmtId="0" fontId="0" fillId="5" borderId="1" pivotButton="0" quotePrefix="0" xfId="0"/>
    <xf numFmtId="0" fontId="2" fillId="5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0" fillId="6" borderId="0" pivotButton="0" quotePrefix="0" xfId="0"/>
    <xf numFmtId="0" fontId="2" fillId="6" borderId="0" pivotButton="0" quotePrefix="0" xfId="0"/>
    <xf numFmtId="0" fontId="0" fillId="6" borderId="1" pivotButton="0" quotePrefix="0" xfId="0"/>
    <xf numFmtId="0" fontId="2" fillId="6" borderId="1" pivotButton="0" quotePrefix="0" xfId="0"/>
    <xf numFmtId="0" fontId="0" fillId="7" borderId="0" pivotButton="0" quotePrefix="0" xfId="0"/>
    <xf numFmtId="0" fontId="2" fillId="7" borderId="0" pivotButton="0" quotePrefix="0" xfId="0"/>
    <xf numFmtId="0" fontId="0" fillId="7" borderId="1" pivotButton="0" quotePrefix="0" xfId="0"/>
    <xf numFmtId="0" fontId="2" fillId="7" borderId="1" pivotButton="0" quotePrefix="0" xfId="0"/>
    <xf numFmtId="166" fontId="0" fillId="4" borderId="0" pivotButton="0" quotePrefix="0" xfId="0"/>
    <xf numFmtId="166" fontId="2" fillId="6" borderId="0" pivotButton="0" quotePrefix="0" xfId="0"/>
    <xf numFmtId="166" fontId="2" fillId="3" borderId="0" pivotButton="0" quotePrefix="0" xfId="0"/>
    <xf numFmtId="166" fontId="2" fillId="7" borderId="0" pivotButton="0" quotePrefix="0" xfId="0"/>
    <xf numFmtId="166" fontId="0" fillId="4" borderId="1" pivotButton="0" quotePrefix="0" xfId="0"/>
    <xf numFmtId="166" fontId="2" fillId="6" borderId="1" pivotButton="0" quotePrefix="0" xfId="0"/>
    <xf numFmtId="166" fontId="2" fillId="3" borderId="1" pivotButton="0" quotePrefix="0" xfId="0"/>
    <xf numFmtId="166" fontId="2" fillId="7" borderId="1" pivotButton="0" quotePrefix="0" xfId="0"/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4" borderId="0" pivotButton="0" quotePrefix="0" xfId="0"/>
    <xf numFmtId="166" fontId="2" fillId="6" borderId="0" pivotButton="0" quotePrefix="0" xfId="0"/>
    <xf numFmtId="166" fontId="2" fillId="3" borderId="0" pivotButton="0" quotePrefix="0" xfId="0"/>
    <xf numFmtId="166" fontId="2" fillId="7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nstructions_March" displayName="Instructions_March" ref="A4:B11" headerRowCount="1">
  <tableColumns count="2">
    <tableColumn id="1" name="Item"/>
    <tableColumn id="2" name="Instruction / Data"/>
  </tableColumns>
  <tableStyleInfo name="TableStyleMedium2" showRowStripes="1"/>
</table>
</file>

<file path=xl/tables/table2.xml><?xml version="1.0" encoding="utf-8"?>
<table xmlns="http://schemas.openxmlformats.org/spreadsheetml/2006/main" id="2" name="BankStmt_March" displayName="BankStmt_March" ref="A10:F46" headerRowCount="1">
  <tableColumns count="6">
    <tableColumn id="1" name="Date"/>
    <tableColumn id="2" name="Transaction Type"/>
    <tableColumn id="3" name="Reference"/>
    <tableColumn id="4" name="Withdrawals / Debits"/>
    <tableColumn id="5" name="Deposits / Credits"/>
    <tableColumn id="6" name="Running Balance"/>
  </tableColumns>
  <tableStyleInfo name="TableStyleMedium2" showRowStripes="1"/>
</table>
</file>

<file path=xl/tables/table3.xml><?xml version="1.0" encoding="utf-8"?>
<table xmlns="http://schemas.openxmlformats.org/spreadsheetml/2006/main" id="3" name="QBRegister_March" displayName="QBRegister_March" ref="A6:J42" headerRowCount="1">
  <tableColumns count="10">
    <tableColumn id="1" name="Date"/>
    <tableColumn id="2" name="Type"/>
    <tableColumn id="3" name="No./Ref"/>
    <tableColumn id="4" name="Name"/>
    <tableColumn id="5" name="Memo"/>
    <tableColumn id="6" name="Payment"/>
    <tableColumn id="7" name="Deposit"/>
    <tableColumn id="8" name="Book Balance"/>
    <tableColumn id="9" name="Cleared?"/>
    <tableColumn id="10" name="Student 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4" customHeight="1">
      <c r="A1" s="9" t="inlineStr">
        <is>
          <t>Skarion Manufacturing LLC - March 2026 Bank Reconciliation Exercise</t>
        </is>
      </c>
      <c r="B1" s="1" t="n"/>
      <c r="C1" s="1" t="n"/>
      <c r="D1" s="1" t="n"/>
      <c r="E1" s="1" t="n"/>
      <c r="F1" s="1" t="n"/>
    </row>
    <row r="4">
      <c r="A4" s="12" t="inlineStr">
        <is>
          <t>Item</t>
        </is>
      </c>
      <c r="B4" s="12" t="inlineStr">
        <is>
          <t>Instruction / Data</t>
        </is>
      </c>
    </row>
    <row r="5">
      <c r="A5" t="inlineStr">
        <is>
          <t>Purpose</t>
        </is>
      </c>
      <c r="B5" s="16" t="inlineStr">
        <is>
          <t>Use the bank statement and QuickBooks register to complete the reconciliation worksheet.</t>
        </is>
      </c>
    </row>
    <row r="6">
      <c r="A6" t="inlineStr">
        <is>
          <t>Student task 1</t>
        </is>
      </c>
      <c r="B6" s="16" t="inlineStr">
        <is>
          <t>Match bank transactions to QuickBooks transactions.</t>
        </is>
      </c>
    </row>
    <row r="7">
      <c r="A7" t="inlineStr">
        <is>
          <t>Student task 2</t>
        </is>
      </c>
      <c r="B7" s="16" t="inlineStr">
        <is>
          <t>Identify missing transactions, wrong amounts, duplicate book entries, outstanding checks, or deposits in transit.</t>
        </is>
      </c>
    </row>
    <row r="8">
      <c r="A8" t="inlineStr">
        <is>
          <t>Student task 3</t>
        </is>
      </c>
      <c r="B8" s="16" t="inlineStr">
        <is>
          <t>Complete the reconciliation worksheet so adjusted bank balance equals adjusted book balance.</t>
        </is>
      </c>
    </row>
    <row r="9">
      <c r="A9" t="inlineStr">
        <is>
          <t>Student task 4</t>
        </is>
      </c>
      <c r="B9" s="16" t="inlineStr">
        <is>
          <t>Prepare any adjusting journal entries needed in QuickBooks.</t>
        </is>
      </c>
    </row>
    <row r="10">
      <c r="A10" t="inlineStr">
        <is>
          <t>Built-in issue count</t>
        </is>
      </c>
      <c r="B10" s="16" t="inlineStr">
        <is>
          <t>3 reconciliation issues are built in: one missing bank-side transaction in QuickBooks, one wrong-amount book entry, and one duplicate book entry.</t>
        </is>
      </c>
    </row>
    <row r="11">
      <c r="A11" t="inlineStr">
        <is>
          <t>Important</t>
        </is>
      </c>
      <c r="B11" s="16" t="inlineStr">
        <is>
          <t>Do not assume the bank statement is wrong unless the data clearly supports it. Most differences are book-side timing or entry issues.</t>
        </is>
      </c>
    </row>
    <row r="13">
      <c r="A13" s="20" t="inlineStr">
        <is>
          <t>Deliverable</t>
        </is>
      </c>
      <c r="B13" s="20" t="inlineStr">
        <is>
          <t>Completed reconciliation worksheet plus a short note explaining each discrepancy found.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27" t="inlineStr">
        <is>
          <t>COMMONWEALTH BANK OF VIRGINIA</t>
        </is>
      </c>
      <c r="B1" s="1" t="n"/>
      <c r="C1" s="1" t="n"/>
      <c r="D1" s="1" t="n"/>
      <c r="E1" s="1" t="n"/>
      <c r="F1" s="1" t="n"/>
    </row>
    <row r="2">
      <c r="A2" s="31" t="inlineStr">
        <is>
          <t>Operating Checking Statement</t>
        </is>
      </c>
      <c r="B2" s="1" t="n"/>
      <c r="C2" s="1" t="n"/>
      <c r="D2" s="1" t="n"/>
      <c r="E2" s="1" t="n"/>
      <c r="F2" s="1" t="n"/>
    </row>
    <row r="4">
      <c r="A4" s="33" t="inlineStr">
        <is>
          <t>Company</t>
        </is>
      </c>
      <c r="B4" t="inlineStr">
        <is>
          <t>Skarion Manufacturing LLC</t>
        </is>
      </c>
      <c r="D4" s="33" t="inlineStr">
        <is>
          <t>Account Number</t>
        </is>
      </c>
      <c r="E4" t="inlineStr">
        <is>
          <t>****-7421</t>
        </is>
      </c>
    </row>
    <row r="5">
      <c r="A5" s="33" t="inlineStr">
        <is>
          <t>Statement Period</t>
        </is>
      </c>
      <c r="B5" t="inlineStr">
        <is>
          <t>Mar 01, 2026 - Mar 31, 2026</t>
        </is>
      </c>
      <c r="D5" s="33" t="inlineStr">
        <is>
          <t>Currency</t>
        </is>
      </c>
      <c r="E5" t="inlineStr">
        <is>
          <t>USD</t>
        </is>
      </c>
    </row>
    <row r="6">
      <c r="A6" s="33" t="inlineStr">
        <is>
          <t>Starting Balance</t>
        </is>
      </c>
      <c r="B6" s="64" t="n">
        <v>143559.16</v>
      </c>
      <c r="D6" s="33" t="inlineStr">
        <is>
          <t>Total Deposits / Credits</t>
        </is>
      </c>
      <c r="E6" s="64">
        <f>SUM(E11:E46)</f>
        <v/>
      </c>
    </row>
    <row r="7">
      <c r="A7" s="33" t="inlineStr">
        <is>
          <t>Total Withdrawals / Debits</t>
        </is>
      </c>
      <c r="B7" s="64">
        <f>SUM(D11:D46)</f>
        <v/>
      </c>
      <c r="D7" s="33" t="inlineStr">
        <is>
          <t>Ending Balance</t>
        </is>
      </c>
      <c r="E7" s="64">
        <f>B6+E6-B7</f>
        <v/>
      </c>
    </row>
    <row r="10">
      <c r="A10" s="39" t="inlineStr">
        <is>
          <t>Date</t>
        </is>
      </c>
      <c r="B10" s="39" t="inlineStr">
        <is>
          <t>Transaction Type</t>
        </is>
      </c>
      <c r="C10" s="39" t="inlineStr">
        <is>
          <t>Reference</t>
        </is>
      </c>
      <c r="D10" s="39" t="inlineStr">
        <is>
          <t>Withdrawals / Debits</t>
        </is>
      </c>
      <c r="E10" s="39" t="inlineStr">
        <is>
          <t>Deposits / Credits</t>
        </is>
      </c>
      <c r="F10" s="39" t="inlineStr">
        <is>
          <t>Running Balance</t>
        </is>
      </c>
    </row>
    <row r="11">
      <c r="A11" s="65" t="n">
        <v>46083</v>
      </c>
      <c r="B11" s="16" t="inlineStr">
        <is>
          <t>ACH Debit - Northern VA Commercial Realty - March rent</t>
        </is>
      </c>
      <c r="C11" t="inlineStr">
        <is>
          <t>ACH-RENT</t>
        </is>
      </c>
      <c r="D11" s="66" t="n">
        <v>12800</v>
      </c>
      <c r="E11" s="66" t="n"/>
      <c r="F11" s="66">
        <f>$B$6+E11-D11</f>
        <v/>
      </c>
    </row>
    <row r="12">
      <c r="A12" s="65" t="n">
        <v>46083</v>
      </c>
      <c r="B12" s="16" t="inlineStr">
        <is>
          <t>ACH Credit - Fairfax Property Group - customer payment</t>
        </is>
      </c>
      <c r="C12" t="inlineStr">
        <is>
          <t>DEP-3001</t>
        </is>
      </c>
      <c r="D12" s="66" t="n"/>
      <c r="E12" s="66" t="n">
        <v>15450</v>
      </c>
      <c r="F12" s="66">
        <f>F11+E12-D12</f>
        <v/>
      </c>
    </row>
    <row r="13">
      <c r="A13" s="65" t="n">
        <v>46084</v>
      </c>
      <c r="B13" s="16" t="inlineStr">
        <is>
          <t>Check - Valley Metal Supply - raw materials</t>
        </is>
      </c>
      <c r="C13" t="inlineStr">
        <is>
          <t>1051</t>
        </is>
      </c>
      <c r="D13" s="66" t="n">
        <v>7910</v>
      </c>
      <c r="E13" s="66" t="n"/>
      <c r="F13" s="66">
        <f>F12+E13-D13</f>
        <v/>
      </c>
    </row>
    <row r="14">
      <c r="A14" s="65" t="n">
        <v>46085</v>
      </c>
      <c r="B14" s="16" t="inlineStr">
        <is>
          <t>ACH Debit - Dominion Energy - plant utilities</t>
        </is>
      </c>
      <c r="C14" t="inlineStr">
        <is>
          <t>ACH-UTIL</t>
        </is>
      </c>
      <c r="D14" s="66" t="n">
        <v>1755</v>
      </c>
      <c r="E14" s="66" t="n"/>
      <c r="F14" s="66">
        <f>F13+E14-D14</f>
        <v/>
      </c>
    </row>
    <row r="15">
      <c r="A15" s="65" t="n">
        <v>46086</v>
      </c>
      <c r="B15" s="16" t="inlineStr">
        <is>
          <t>ACH Credit - Roanoke Equipment Dealers - customer payment</t>
        </is>
      </c>
      <c r="C15" t="inlineStr">
        <is>
          <t>DEP-3002</t>
        </is>
      </c>
      <c r="D15" s="66" t="n"/>
      <c r="E15" s="66" t="n">
        <v>13050</v>
      </c>
      <c r="F15" s="66">
        <f>F14+E15-D15</f>
        <v/>
      </c>
    </row>
    <row r="16">
      <c r="A16" s="65" t="n">
        <v>46087</v>
      </c>
      <c r="B16" s="16" t="inlineStr">
        <is>
          <t>Check - OfficePro Supplies - office supplies</t>
        </is>
      </c>
      <c r="C16" t="inlineStr">
        <is>
          <t>1052</t>
        </is>
      </c>
      <c r="D16" s="66" t="n">
        <v>735</v>
      </c>
      <c r="E16" s="66" t="n"/>
      <c r="F16" s="66">
        <f>F15+E16-D16</f>
        <v/>
      </c>
    </row>
    <row r="17">
      <c r="A17" s="65" t="n">
        <v>46087</v>
      </c>
      <c r="B17" s="16" t="inlineStr">
        <is>
          <t>ACH Debit - Intuit QuickBooks Online subscription</t>
        </is>
      </c>
      <c r="C17" t="inlineStr">
        <is>
          <t>ACH-QBO</t>
        </is>
      </c>
      <c r="D17" s="66" t="n">
        <v>225</v>
      </c>
      <c r="E17" s="66" t="n"/>
      <c r="F17" s="66">
        <f>F16+E17-D17</f>
        <v/>
      </c>
    </row>
    <row r="18">
      <c r="A18" s="65" t="n">
        <v>46088</v>
      </c>
      <c r="B18" s="16" t="inlineStr">
        <is>
          <t>ACH Credit - Richmond Retail Interiors - customer payment</t>
        </is>
      </c>
      <c r="C18" t="inlineStr">
        <is>
          <t>DEP-3003</t>
        </is>
      </c>
      <c r="D18" s="66" t="n"/>
      <c r="E18" s="66" t="n">
        <v>18200</v>
      </c>
      <c r="F18" s="66">
        <f>F17+E18-D18</f>
        <v/>
      </c>
    </row>
    <row r="19">
      <c r="A19" s="65" t="n">
        <v>46089</v>
      </c>
      <c r="B19" s="16" t="inlineStr">
        <is>
          <t>ACH Debit - Atlantic Freight Lines - freight bill</t>
        </is>
      </c>
      <c r="C19" t="inlineStr">
        <is>
          <t>ACH-FRT</t>
        </is>
      </c>
      <c r="D19" s="66" t="n">
        <v>2140</v>
      </c>
      <c r="E19" s="66" t="n"/>
      <c r="F19" s="66">
        <f>F18+E19-D19</f>
        <v/>
      </c>
    </row>
    <row r="20">
      <c r="A20" s="65" t="n">
        <v>46090</v>
      </c>
      <c r="B20" s="16" t="inlineStr">
        <is>
          <t>Wire Debit - Commonwealth Plastics - resin inventory</t>
        </is>
      </c>
      <c r="C20" t="inlineStr">
        <is>
          <t>WIRE-3001</t>
        </is>
      </c>
      <c r="D20" s="66" t="n">
        <v>16850</v>
      </c>
      <c r="E20" s="66" t="n"/>
      <c r="F20" s="66">
        <f>F19+E20-D20</f>
        <v/>
      </c>
    </row>
    <row r="21">
      <c r="A21" s="65" t="n">
        <v>46091</v>
      </c>
      <c r="B21" s="16" t="inlineStr">
        <is>
          <t>ACH Credit - Chesapeake Food Equipment - customer payment</t>
        </is>
      </c>
      <c r="C21" t="inlineStr">
        <is>
          <t>DEP-3004</t>
        </is>
      </c>
      <c r="D21" s="66" t="n"/>
      <c r="E21" s="66" t="n">
        <v>11900</v>
      </c>
      <c r="F21" s="66">
        <f>F20+E21-D21</f>
        <v/>
      </c>
    </row>
    <row r="22">
      <c r="A22" s="65" t="n">
        <v>46091</v>
      </c>
      <c r="B22" s="16" t="inlineStr">
        <is>
          <t>ACH Debit - ADP Payroll Tax Withdrawal</t>
        </is>
      </c>
      <c r="C22" t="inlineStr">
        <is>
          <t>ACH-PAYTAX</t>
        </is>
      </c>
      <c r="D22" s="66" t="n">
        <v>3675</v>
      </c>
      <c r="E22" s="66" t="n"/>
      <c r="F22" s="66">
        <f>F21+E22-D22</f>
        <v/>
      </c>
    </row>
    <row r="23">
      <c r="A23" s="65" t="n">
        <v>46092</v>
      </c>
      <c r="B23" s="16" t="inlineStr">
        <is>
          <t>Bank Fee - Monthly bank service charge</t>
        </is>
      </c>
      <c r="C23" t="inlineStr">
        <is>
          <t>FEE-003</t>
        </is>
      </c>
      <c r="D23" s="66" t="n">
        <v>35</v>
      </c>
      <c r="E23" s="66" t="n"/>
      <c r="F23" s="66">
        <f>F22+E23-D23</f>
        <v/>
      </c>
    </row>
    <row r="24">
      <c r="A24" s="65" t="n">
        <v>46093</v>
      </c>
      <c r="B24" s="16" t="inlineStr">
        <is>
          <t>Check - Precision Packaging - cartons and labels</t>
        </is>
      </c>
      <c r="C24" t="inlineStr">
        <is>
          <t>1053</t>
        </is>
      </c>
      <c r="D24" s="66" t="n">
        <v>3440</v>
      </c>
      <c r="E24" s="66" t="n"/>
      <c r="F24" s="66">
        <f>F23+E24-D24</f>
        <v/>
      </c>
    </row>
    <row r="25">
      <c r="A25" s="65" t="n">
        <v>46094</v>
      </c>
      <c r="B25" s="16" t="inlineStr">
        <is>
          <t>ACH Debit - Verizon Business - internet and phone</t>
        </is>
      </c>
      <c r="C25" t="inlineStr">
        <is>
          <t>ACH-TEL</t>
        </is>
      </c>
      <c r="D25" s="66" t="n">
        <v>618</v>
      </c>
      <c r="E25" s="66" t="n"/>
      <c r="F25" s="66">
        <f>F24+E25-D25</f>
        <v/>
      </c>
    </row>
    <row r="26">
      <c r="A26" s="65" t="n">
        <v>46095</v>
      </c>
      <c r="B26" s="16" t="inlineStr">
        <is>
          <t>ACH Credit - Hampton Roads Marine Supply - customer payment</t>
        </is>
      </c>
      <c r="C26" t="inlineStr">
        <is>
          <t>DEP-3005</t>
        </is>
      </c>
      <c r="D26" s="66" t="n"/>
      <c r="E26" s="66" t="n">
        <v>15200</v>
      </c>
      <c r="F26" s="66">
        <f>F25+E26-D26</f>
        <v/>
      </c>
    </row>
    <row r="27">
      <c r="A27" s="65" t="n">
        <v>46096</v>
      </c>
      <c r="B27" s="16" t="inlineStr">
        <is>
          <t>ACH Debit - Net payroll direct deposit</t>
        </is>
      </c>
      <c r="C27" t="inlineStr">
        <is>
          <t>ACH-PAYROLL</t>
        </is>
      </c>
      <c r="D27" s="66" t="n">
        <v>23850</v>
      </c>
      <c r="E27" s="66" t="n"/>
      <c r="F27" s="66">
        <f>F26+E27-D27</f>
        <v/>
      </c>
    </row>
    <row r="28">
      <c r="A28" s="65" t="n">
        <v>46097</v>
      </c>
      <c r="B28" s="16" t="inlineStr">
        <is>
          <t>ACH Credit - Piedmont Facility Services - customer payment</t>
        </is>
      </c>
      <c r="C28" t="inlineStr">
        <is>
          <t>DEP-3006</t>
        </is>
      </c>
      <c r="D28" s="66" t="n"/>
      <c r="E28" s="66" t="n">
        <v>17400</v>
      </c>
      <c r="F28" s="66">
        <f>F27+E28-D28</f>
        <v/>
      </c>
    </row>
    <row r="29">
      <c r="A29" s="65" t="n">
        <v>46098</v>
      </c>
      <c r="B29" s="16" t="inlineStr">
        <is>
          <t>ACH Debit - Patriot Insurance Agency - monthly premium</t>
        </is>
      </c>
      <c r="C29" t="inlineStr">
        <is>
          <t>ACH-INS</t>
        </is>
      </c>
      <c r="D29" s="66" t="n">
        <v>1280</v>
      </c>
      <c r="E29" s="66" t="n"/>
      <c r="F29" s="66">
        <f>F28+E29-D29</f>
        <v/>
      </c>
    </row>
    <row r="30">
      <c r="A30" s="65" t="n">
        <v>46099</v>
      </c>
      <c r="B30" s="16" t="inlineStr">
        <is>
          <t>Check - Riverbend Tooling - machine repair parts</t>
        </is>
      </c>
      <c r="C30" t="inlineStr">
        <is>
          <t>1054</t>
        </is>
      </c>
      <c r="D30" s="66" t="n">
        <v>4550</v>
      </c>
      <c r="E30" s="66" t="n"/>
      <c r="F30" s="66">
        <f>F29+E30-D30</f>
        <v/>
      </c>
    </row>
    <row r="31">
      <c r="A31" s="65" t="n">
        <v>46100</v>
      </c>
      <c r="B31" s="16" t="inlineStr">
        <is>
          <t>ACH Debit - Virginia sales tax payment</t>
        </is>
      </c>
      <c r="C31" t="inlineStr">
        <is>
          <t>ACH-SALESTAX</t>
        </is>
      </c>
      <c r="D31" s="66" t="n">
        <v>2910</v>
      </c>
      <c r="E31" s="66" t="n"/>
      <c r="F31" s="66">
        <f>F30+E31-D31</f>
        <v/>
      </c>
    </row>
    <row r="32">
      <c r="A32" s="65" t="n">
        <v>46101</v>
      </c>
      <c r="B32" s="16" t="inlineStr">
        <is>
          <t>ACH Credit - Shenandoah Office Solutions - customer payment</t>
        </is>
      </c>
      <c r="C32" t="inlineStr">
        <is>
          <t>DEP-3007</t>
        </is>
      </c>
      <c r="D32" s="66" t="n"/>
      <c r="E32" s="66" t="n">
        <v>7520</v>
      </c>
      <c r="F32" s="66">
        <f>F31+E32-D32</f>
        <v/>
      </c>
    </row>
    <row r="33">
      <c r="A33" s="65" t="n">
        <v>46102</v>
      </c>
      <c r="B33" s="16" t="inlineStr">
        <is>
          <t>ACH Debit - BluePeak Warehouse - storage charge</t>
        </is>
      </c>
      <c r="C33" t="inlineStr">
        <is>
          <t>ACH-WHSE</t>
        </is>
      </c>
      <c r="D33" s="66" t="n">
        <v>1850</v>
      </c>
      <c r="E33" s="66" t="n"/>
      <c r="F33" s="66">
        <f>F32+E33-D33</f>
        <v/>
      </c>
    </row>
    <row r="34">
      <c r="A34" s="65" t="n">
        <v>46103</v>
      </c>
      <c r="B34" s="16" t="inlineStr">
        <is>
          <t>Check - Shenandoah Electronics - control panels</t>
        </is>
      </c>
      <c r="C34" t="inlineStr">
        <is>
          <t>1055</t>
        </is>
      </c>
      <c r="D34" s="66" t="n">
        <v>6110</v>
      </c>
      <c r="E34" s="66" t="n"/>
      <c r="F34" s="66">
        <f>F33+E34-D34</f>
        <v/>
      </c>
    </row>
    <row r="35">
      <c r="A35" s="65" t="n">
        <v>46104</v>
      </c>
      <c r="B35" s="16" t="inlineStr">
        <is>
          <t>ACH Credit - Arlington Workspace Partners - customer payment</t>
        </is>
      </c>
      <c r="C35" t="inlineStr">
        <is>
          <t>DEP-3008</t>
        </is>
      </c>
      <c r="D35" s="66" t="n"/>
      <c r="E35" s="66" t="n">
        <v>10450</v>
      </c>
      <c r="F35" s="66">
        <f>F34+E35-D35</f>
        <v/>
      </c>
    </row>
    <row r="36">
      <c r="A36" s="65" t="n">
        <v>46105</v>
      </c>
      <c r="B36" s="16" t="inlineStr">
        <is>
          <t>ACH Debit - Employee expense reimbursements</t>
        </is>
      </c>
      <c r="C36" t="inlineStr">
        <is>
          <t>ACH-ER</t>
        </is>
      </c>
      <c r="D36" s="66" t="n">
        <v>1265</v>
      </c>
      <c r="E36" s="66" t="n"/>
      <c r="F36" s="66">
        <f>F35+E36-D36</f>
        <v/>
      </c>
    </row>
    <row r="37">
      <c r="A37" s="65" t="n">
        <v>46106</v>
      </c>
      <c r="B37" s="16" t="inlineStr">
        <is>
          <t>ACH Credit - Alexandria Contractors - customer payment</t>
        </is>
      </c>
      <c r="C37" t="inlineStr">
        <is>
          <t>DEP-3009</t>
        </is>
      </c>
      <c r="D37" s="66" t="n"/>
      <c r="E37" s="66" t="n">
        <v>13950</v>
      </c>
      <c r="F37" s="66">
        <f>F36+E37-D37</f>
        <v/>
      </c>
    </row>
    <row r="38">
      <c r="A38" s="65" t="n">
        <v>46107</v>
      </c>
      <c r="B38" s="16" t="inlineStr">
        <is>
          <t>Check - Capital Packaging Co. - packaging supplies</t>
        </is>
      </c>
      <c r="C38" t="inlineStr">
        <is>
          <t>1056</t>
        </is>
      </c>
      <c r="D38" s="66" t="n">
        <v>2235</v>
      </c>
      <c r="E38" s="66" t="n"/>
      <c r="F38" s="66">
        <f>F37+E38-D38</f>
        <v/>
      </c>
    </row>
    <row r="39">
      <c r="A39" s="65" t="n">
        <v>46108</v>
      </c>
      <c r="B39" s="16" t="inlineStr">
        <is>
          <t>ACH Debit - Federal tax deposit</t>
        </is>
      </c>
      <c r="C39" t="inlineStr">
        <is>
          <t>ACH-FEDTAX</t>
        </is>
      </c>
      <c r="D39" s="66" t="n">
        <v>6425</v>
      </c>
      <c r="E39" s="66" t="n"/>
      <c r="F39" s="66">
        <f>F38+E39-D39</f>
        <v/>
      </c>
    </row>
    <row r="40">
      <c r="A40" s="65" t="n">
        <v>46109</v>
      </c>
      <c r="B40" s="16" t="inlineStr">
        <is>
          <t>Wire Debit - Atlantic Commercial Bank - monthly loan payment</t>
        </is>
      </c>
      <c r="C40" t="inlineStr">
        <is>
          <t>WIRE-LOAN</t>
        </is>
      </c>
      <c r="D40" s="66" t="n">
        <v>3818.22</v>
      </c>
      <c r="E40" s="66" t="n"/>
      <c r="F40" s="66">
        <f>F39+E40-D40</f>
        <v/>
      </c>
    </row>
    <row r="41">
      <c r="A41" s="65" t="n">
        <v>46110</v>
      </c>
      <c r="B41" s="16" t="inlineStr">
        <is>
          <t>ACH Debit - QuickShip Logistics - delivery services</t>
        </is>
      </c>
      <c r="C41" t="inlineStr">
        <is>
          <t>ACH-SHIP</t>
        </is>
      </c>
      <c r="D41" s="66" t="n">
        <v>890</v>
      </c>
      <c r="E41" s="66" t="n"/>
      <c r="F41" s="66">
        <f>F40+E41-D41</f>
        <v/>
      </c>
    </row>
    <row r="42">
      <c r="A42" s="65" t="n">
        <v>46111</v>
      </c>
      <c r="B42" s="16" t="inlineStr">
        <is>
          <t>ACH Credit - Tidewater Construction Supply - customer payment</t>
        </is>
      </c>
      <c r="C42" t="inlineStr">
        <is>
          <t>DEP-3010</t>
        </is>
      </c>
      <c r="D42" s="66" t="n"/>
      <c r="E42" s="66" t="n">
        <v>16100</v>
      </c>
      <c r="F42" s="66">
        <f>F41+E42-D42</f>
        <v/>
      </c>
    </row>
    <row r="43">
      <c r="A43" s="65" t="n">
        <v>46112</v>
      </c>
      <c r="B43" s="16" t="inlineStr">
        <is>
          <t>Interest - Interest earned on operating account</t>
        </is>
      </c>
      <c r="C43" t="inlineStr">
        <is>
          <t>INT-003</t>
        </is>
      </c>
      <c r="D43" s="66" t="n"/>
      <c r="E43" s="66" t="n">
        <v>15.2</v>
      </c>
      <c r="F43" s="66">
        <f>F42+E43-D43</f>
        <v/>
      </c>
    </row>
    <row r="44">
      <c r="A44" s="65" t="n">
        <v>46112</v>
      </c>
      <c r="B44" s="16" t="inlineStr">
        <is>
          <t>Bank Fee - Merchant processing fees</t>
        </is>
      </c>
      <c r="C44" t="inlineStr">
        <is>
          <t>FEE-MERCH</t>
        </is>
      </c>
      <c r="D44" s="66" t="n">
        <v>215.6</v>
      </c>
      <c r="E44" s="66" t="n"/>
      <c r="F44" s="66">
        <f>F43+E44-D44</f>
        <v/>
      </c>
    </row>
    <row r="45">
      <c r="A45" s="65" t="n">
        <v>46112</v>
      </c>
      <c r="B45" s="16" t="inlineStr">
        <is>
          <t>ACH Credit - Dulles Industrial Interiors - customer payment</t>
        </is>
      </c>
      <c r="C45" t="inlineStr">
        <is>
          <t>DEP-3011</t>
        </is>
      </c>
      <c r="D45" s="66" t="n"/>
      <c r="E45" s="66" t="n">
        <v>12500</v>
      </c>
      <c r="F45" s="66">
        <f>F44+E45-D45</f>
        <v/>
      </c>
    </row>
    <row r="46">
      <c r="A46" s="65" t="n">
        <v>46112</v>
      </c>
      <c r="B46" s="16" t="inlineStr">
        <is>
          <t>Bank Fee - Returned item bank fee</t>
        </is>
      </c>
      <c r="C46" t="inlineStr">
        <is>
          <t>FEE-RETURN</t>
        </is>
      </c>
      <c r="D46" s="66" t="n">
        <v>25</v>
      </c>
      <c r="E46" s="66" t="n"/>
      <c r="F46" s="66">
        <f>F45+E46-D46</f>
        <v/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48" customWidth="1" min="5" max="5"/>
    <col width="14" customWidth="1" min="6" max="6"/>
    <col width="14" customWidth="1" min="7" max="7"/>
    <col width="16" customWidth="1" min="8" max="8"/>
    <col width="14" customWidth="1" min="9" max="9"/>
    <col width="36" customWidth="1" min="10" max="10"/>
  </cols>
  <sheetData>
    <row r="1" ht="24" customHeight="1">
      <c r="A1" s="8" t="inlineStr">
        <is>
          <t>QuickBooks Register Extract - Operating Checking (March 2026)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33" t="inlineStr">
        <is>
          <t>Starting Book Balance</t>
        </is>
      </c>
      <c r="B3" s="64" t="n">
        <v>143559.16</v>
      </c>
    </row>
    <row r="6">
      <c r="A6" s="39" t="inlineStr">
        <is>
          <t>Date</t>
        </is>
      </c>
      <c r="B6" s="39" t="inlineStr">
        <is>
          <t>Type</t>
        </is>
      </c>
      <c r="C6" s="39" t="inlineStr">
        <is>
          <t>No./Ref</t>
        </is>
      </c>
      <c r="D6" s="39" t="inlineStr">
        <is>
          <t>Name</t>
        </is>
      </c>
      <c r="E6" s="39" t="inlineStr">
        <is>
          <t>Memo</t>
        </is>
      </c>
      <c r="F6" s="39" t="inlineStr">
        <is>
          <t>Payment</t>
        </is>
      </c>
      <c r="G6" s="39" t="inlineStr">
        <is>
          <t>Deposit</t>
        </is>
      </c>
      <c r="H6" s="39" t="inlineStr">
        <is>
          <t>Book Balance</t>
        </is>
      </c>
      <c r="I6" s="39" t="inlineStr">
        <is>
          <t>Cleared?</t>
        </is>
      </c>
      <c r="J6" s="39" t="inlineStr">
        <is>
          <t>Student Notes</t>
        </is>
      </c>
    </row>
    <row r="7">
      <c r="A7" s="65" t="n">
        <v>46083</v>
      </c>
      <c r="B7" t="inlineStr">
        <is>
          <t>Expense</t>
        </is>
      </c>
      <c r="C7" t="inlineStr">
        <is>
          <t>ACH-RENT</t>
        </is>
      </c>
      <c r="D7" t="inlineStr">
        <is>
          <t>Northern VA Commercial Realty</t>
        </is>
      </c>
      <c r="E7" s="16" t="inlineStr">
        <is>
          <t>Northern VA Commercial Realty - March rent</t>
        </is>
      </c>
      <c r="F7" s="66" t="n">
        <v>12800</v>
      </c>
      <c r="G7" s="66" t="n"/>
      <c r="H7" s="66">
        <f>$B$3-F7+G7</f>
        <v/>
      </c>
      <c r="J7" s="16" t="str"/>
    </row>
    <row r="8">
      <c r="A8" s="65" t="n">
        <v>46083</v>
      </c>
      <c r="B8" t="inlineStr">
        <is>
          <t>Deposit</t>
        </is>
      </c>
      <c r="C8" t="inlineStr">
        <is>
          <t>DEP-3001</t>
        </is>
      </c>
      <c r="D8" t="inlineStr">
        <is>
          <t>Fairfax Property Group</t>
        </is>
      </c>
      <c r="E8" s="16" t="inlineStr">
        <is>
          <t>Fairfax Property Group - customer payment</t>
        </is>
      </c>
      <c r="F8" s="66" t="n"/>
      <c r="G8" s="66" t="n">
        <v>15450</v>
      </c>
      <c r="H8" s="66">
        <f>H7-F8+G8</f>
        <v/>
      </c>
      <c r="J8" s="16" t="str"/>
    </row>
    <row r="9">
      <c r="A9" s="65" t="n">
        <v>46084</v>
      </c>
      <c r="B9" t="inlineStr">
        <is>
          <t>Check</t>
        </is>
      </c>
      <c r="C9" t="inlineStr">
        <is>
          <t>1051</t>
        </is>
      </c>
      <c r="D9" t="inlineStr">
        <is>
          <t>Valley Metal Supply</t>
        </is>
      </c>
      <c r="E9" s="16" t="inlineStr">
        <is>
          <t>Valley Metal Supply - raw materials</t>
        </is>
      </c>
      <c r="F9" s="66" t="n">
        <v>7910</v>
      </c>
      <c r="G9" s="66" t="n"/>
      <c r="H9" s="66">
        <f>H8-F9+G9</f>
        <v/>
      </c>
      <c r="J9" s="16" t="str"/>
    </row>
    <row r="10">
      <c r="A10" s="65" t="n">
        <v>46085</v>
      </c>
      <c r="B10" t="inlineStr">
        <is>
          <t>Expense</t>
        </is>
      </c>
      <c r="C10" t="inlineStr">
        <is>
          <t>ACH-UTIL</t>
        </is>
      </c>
      <c r="D10" t="inlineStr">
        <is>
          <t>Dominion Energy</t>
        </is>
      </c>
      <c r="E10" s="16" t="inlineStr">
        <is>
          <t>Dominion Energy - plant utilities</t>
        </is>
      </c>
      <c r="F10" s="66" t="n">
        <v>1755</v>
      </c>
      <c r="G10" s="66" t="n"/>
      <c r="H10" s="66">
        <f>H9-F10+G10</f>
        <v/>
      </c>
      <c r="J10" s="16" t="str"/>
    </row>
    <row r="11">
      <c r="A11" s="65" t="n">
        <v>46086</v>
      </c>
      <c r="B11" t="inlineStr">
        <is>
          <t>Deposit</t>
        </is>
      </c>
      <c r="C11" t="inlineStr">
        <is>
          <t>DEP-3002</t>
        </is>
      </c>
      <c r="D11" t="inlineStr">
        <is>
          <t>Roanoke Equipment Dealers</t>
        </is>
      </c>
      <c r="E11" s="16" t="inlineStr">
        <is>
          <t>Roanoke Equipment Dealers - customer payment</t>
        </is>
      </c>
      <c r="F11" s="66" t="n"/>
      <c r="G11" s="66" t="n">
        <v>13050</v>
      </c>
      <c r="H11" s="66">
        <f>H10-F11+G11</f>
        <v/>
      </c>
      <c r="J11" s="16" t="str"/>
    </row>
    <row r="12">
      <c r="A12" s="65" t="n">
        <v>46087</v>
      </c>
      <c r="B12" t="inlineStr">
        <is>
          <t>Check</t>
        </is>
      </c>
      <c r="C12" t="inlineStr">
        <is>
          <t>1052</t>
        </is>
      </c>
      <c r="D12" t="inlineStr">
        <is>
          <t>OfficePro Supplies</t>
        </is>
      </c>
      <c r="E12" s="16" t="inlineStr">
        <is>
          <t>OfficePro Supplies - office supplies</t>
        </is>
      </c>
      <c r="F12" s="66" t="n">
        <v>735</v>
      </c>
      <c r="G12" s="66" t="n"/>
      <c r="H12" s="66">
        <f>H11-F12+G12</f>
        <v/>
      </c>
      <c r="J12" s="16" t="str"/>
    </row>
    <row r="13">
      <c r="A13" s="65" t="n">
        <v>46087</v>
      </c>
      <c r="B13" t="inlineStr">
        <is>
          <t>Check</t>
        </is>
      </c>
      <c r="C13" t="inlineStr">
        <is>
          <t>1052</t>
        </is>
      </c>
      <c r="D13" t="inlineStr">
        <is>
          <t>OfficePro Supplies</t>
        </is>
      </c>
      <c r="E13" s="16" t="inlineStr">
        <is>
          <t>OfficePro Supplies - office supplies</t>
        </is>
      </c>
      <c r="F13" s="66" t="n">
        <v>735</v>
      </c>
      <c r="G13" s="66" t="n"/>
      <c r="H13" s="66">
        <f>H12-F13+G13</f>
        <v/>
      </c>
      <c r="J13" s="16" t="str"/>
    </row>
    <row r="14">
      <c r="A14" s="65" t="n">
        <v>46087</v>
      </c>
      <c r="B14" t="inlineStr">
        <is>
          <t>Expense</t>
        </is>
      </c>
      <c r="C14" t="inlineStr">
        <is>
          <t>ACH-QBO</t>
        </is>
      </c>
      <c r="D14" t="inlineStr">
        <is>
          <t>Intuit QuickBooks Online subscription</t>
        </is>
      </c>
      <c r="E14" s="16" t="inlineStr">
        <is>
          <t>Intuit QuickBooks Online subscription</t>
        </is>
      </c>
      <c r="F14" s="66" t="n">
        <v>225</v>
      </c>
      <c r="G14" s="66" t="n"/>
      <c r="H14" s="66">
        <f>H13-F14+G14</f>
        <v/>
      </c>
      <c r="J14" s="16" t="str"/>
    </row>
    <row r="15">
      <c r="A15" s="65" t="n">
        <v>46088</v>
      </c>
      <c r="B15" t="inlineStr">
        <is>
          <t>Deposit</t>
        </is>
      </c>
      <c r="C15" t="inlineStr">
        <is>
          <t>DEP-3003</t>
        </is>
      </c>
      <c r="D15" t="inlineStr">
        <is>
          <t>Richmond Retail Interiors</t>
        </is>
      </c>
      <c r="E15" s="16" t="inlineStr">
        <is>
          <t>Richmond Retail Interiors - customer payment</t>
        </is>
      </c>
      <c r="F15" s="66" t="n"/>
      <c r="G15" s="66" t="n">
        <v>18200</v>
      </c>
      <c r="H15" s="66">
        <f>H14-F15+G15</f>
        <v/>
      </c>
      <c r="J15" s="16" t="str"/>
    </row>
    <row r="16">
      <c r="A16" s="65" t="n">
        <v>46089</v>
      </c>
      <c r="B16" t="inlineStr">
        <is>
          <t>Expense</t>
        </is>
      </c>
      <c r="C16" t="inlineStr">
        <is>
          <t>ACH-FRT</t>
        </is>
      </c>
      <c r="D16" t="inlineStr">
        <is>
          <t>Atlantic Freight Lines</t>
        </is>
      </c>
      <c r="E16" s="16" t="inlineStr">
        <is>
          <t>Atlantic Freight Lines - freight bill</t>
        </is>
      </c>
      <c r="F16" s="66" t="n">
        <v>2140</v>
      </c>
      <c r="G16" s="66" t="n"/>
      <c r="H16" s="66">
        <f>H15-F16+G16</f>
        <v/>
      </c>
      <c r="J16" s="16" t="str"/>
    </row>
    <row r="17">
      <c r="A17" s="65" t="n">
        <v>46090</v>
      </c>
      <c r="B17" t="inlineStr">
        <is>
          <t>Bill Payment</t>
        </is>
      </c>
      <c r="C17" t="inlineStr">
        <is>
          <t>WIRE-3001</t>
        </is>
      </c>
      <c r="D17" t="inlineStr">
        <is>
          <t>Commonwealth Plastics</t>
        </is>
      </c>
      <c r="E17" s="16" t="inlineStr">
        <is>
          <t>Commonwealth Plastics - resin inventory</t>
        </is>
      </c>
      <c r="F17" s="66" t="n">
        <v>16850</v>
      </c>
      <c r="G17" s="66" t="n"/>
      <c r="H17" s="66">
        <f>H16-F17+G17</f>
        <v/>
      </c>
      <c r="J17" s="16" t="str"/>
    </row>
    <row r="18">
      <c r="A18" s="65" t="n">
        <v>46091</v>
      </c>
      <c r="B18" t="inlineStr">
        <is>
          <t>Expense</t>
        </is>
      </c>
      <c r="C18" t="inlineStr">
        <is>
          <t>ACH-PAYTAX</t>
        </is>
      </c>
      <c r="D18" t="inlineStr">
        <is>
          <t>ADP Payroll Tax Withdrawal</t>
        </is>
      </c>
      <c r="E18" s="16" t="inlineStr">
        <is>
          <t>ADP Payroll Tax Withdrawal</t>
        </is>
      </c>
      <c r="F18" s="66" t="n">
        <v>3675</v>
      </c>
      <c r="G18" s="66" t="n"/>
      <c r="H18" s="66">
        <f>H17-F18+G18</f>
        <v/>
      </c>
      <c r="J18" s="16" t="str"/>
    </row>
    <row r="19">
      <c r="A19" s="65" t="n">
        <v>46091</v>
      </c>
      <c r="B19" t="inlineStr">
        <is>
          <t>Deposit</t>
        </is>
      </c>
      <c r="C19" t="inlineStr">
        <is>
          <t>DEP-3004</t>
        </is>
      </c>
      <c r="D19" t="inlineStr">
        <is>
          <t>Chesapeake Food Equipment</t>
        </is>
      </c>
      <c r="E19" s="16" t="inlineStr">
        <is>
          <t>Chesapeake Food Equipment - customer payment</t>
        </is>
      </c>
      <c r="F19" s="66" t="n"/>
      <c r="G19" s="66" t="n">
        <v>11900</v>
      </c>
      <c r="H19" s="66">
        <f>H18-F19+G19</f>
        <v/>
      </c>
      <c r="J19" s="16" t="str"/>
    </row>
    <row r="20">
      <c r="A20" s="65" t="n">
        <v>46092</v>
      </c>
      <c r="B20" t="inlineStr">
        <is>
          <t>Expense</t>
        </is>
      </c>
      <c r="C20" t="inlineStr">
        <is>
          <t>FEE-003</t>
        </is>
      </c>
      <c r="D20" t="inlineStr">
        <is>
          <t>Monthly bank service charge</t>
        </is>
      </c>
      <c r="E20" s="16" t="inlineStr">
        <is>
          <t>Monthly bank service charge</t>
        </is>
      </c>
      <c r="F20" s="66" t="n">
        <v>35</v>
      </c>
      <c r="G20" s="66" t="n"/>
      <c r="H20" s="66">
        <f>H19-F20+G20</f>
        <v/>
      </c>
      <c r="J20" s="16" t="str"/>
    </row>
    <row r="21">
      <c r="A21" s="65" t="n">
        <v>46093</v>
      </c>
      <c r="B21" t="inlineStr">
        <is>
          <t>Check</t>
        </is>
      </c>
      <c r="C21" t="inlineStr">
        <is>
          <t>1053</t>
        </is>
      </c>
      <c r="D21" t="inlineStr">
        <is>
          <t>Precision Packaging</t>
        </is>
      </c>
      <c r="E21" s="16" t="inlineStr">
        <is>
          <t>Precision Packaging - cartons and labels</t>
        </is>
      </c>
      <c r="F21" s="66" t="n">
        <v>3440</v>
      </c>
      <c r="G21" s="66" t="n"/>
      <c r="H21" s="66">
        <f>H20-F21+G21</f>
        <v/>
      </c>
      <c r="J21" s="16" t="str"/>
    </row>
    <row r="22">
      <c r="A22" s="65" t="n">
        <v>46094</v>
      </c>
      <c r="B22" t="inlineStr">
        <is>
          <t>Expense</t>
        </is>
      </c>
      <c r="C22" t="inlineStr">
        <is>
          <t>ACH-TEL</t>
        </is>
      </c>
      <c r="D22" t="inlineStr">
        <is>
          <t>Verizon Business</t>
        </is>
      </c>
      <c r="E22" s="16" t="inlineStr">
        <is>
          <t>Verizon Business - internet and phone</t>
        </is>
      </c>
      <c r="F22" s="66" t="n">
        <v>618</v>
      </c>
      <c r="G22" s="66" t="n"/>
      <c r="H22" s="66">
        <f>H21-F22+G22</f>
        <v/>
      </c>
      <c r="J22" s="16" t="str"/>
    </row>
    <row r="23">
      <c r="A23" s="65" t="n">
        <v>46095</v>
      </c>
      <c r="B23" t="inlineStr">
        <is>
          <t>Deposit</t>
        </is>
      </c>
      <c r="C23" t="inlineStr">
        <is>
          <t>DEP-3005</t>
        </is>
      </c>
      <c r="D23" t="inlineStr">
        <is>
          <t>Hampton Roads Marine Supply</t>
        </is>
      </c>
      <c r="E23" s="16" t="inlineStr">
        <is>
          <t>Hampton Roads Marine Supply - customer payment</t>
        </is>
      </c>
      <c r="F23" s="66" t="n"/>
      <c r="G23" s="66" t="n">
        <v>15200</v>
      </c>
      <c r="H23" s="66">
        <f>H22-F23+G23</f>
        <v/>
      </c>
      <c r="J23" s="16" t="str"/>
    </row>
    <row r="24">
      <c r="A24" s="65" t="n">
        <v>46096</v>
      </c>
      <c r="B24" t="inlineStr">
        <is>
          <t>Expense</t>
        </is>
      </c>
      <c r="C24" t="inlineStr">
        <is>
          <t>ACH-PAYROLL</t>
        </is>
      </c>
      <c r="D24" t="inlineStr">
        <is>
          <t>Net payroll direct deposit</t>
        </is>
      </c>
      <c r="E24" s="16" t="inlineStr">
        <is>
          <t>Net payroll direct deposit</t>
        </is>
      </c>
      <c r="F24" s="66" t="n">
        <v>23850</v>
      </c>
      <c r="G24" s="66" t="n"/>
      <c r="H24" s="66">
        <f>H23-F24+G24</f>
        <v/>
      </c>
      <c r="J24" s="16" t="str"/>
    </row>
    <row r="25">
      <c r="A25" s="65" t="n">
        <v>46097</v>
      </c>
      <c r="B25" t="inlineStr">
        <is>
          <t>Deposit</t>
        </is>
      </c>
      <c r="C25" t="inlineStr">
        <is>
          <t>DEP-3006</t>
        </is>
      </c>
      <c r="D25" t="inlineStr">
        <is>
          <t>Piedmont Facility Services</t>
        </is>
      </c>
      <c r="E25" s="16" t="inlineStr">
        <is>
          <t>Piedmont Facility Services - customer payment</t>
        </is>
      </c>
      <c r="F25" s="66" t="n"/>
      <c r="G25" s="66" t="n">
        <v>17400</v>
      </c>
      <c r="H25" s="66">
        <f>H24-F25+G25</f>
        <v/>
      </c>
      <c r="J25" s="16" t="str"/>
    </row>
    <row r="26">
      <c r="A26" s="65" t="n">
        <v>46099</v>
      </c>
      <c r="B26" t="inlineStr">
        <is>
          <t>Check</t>
        </is>
      </c>
      <c r="C26" t="inlineStr">
        <is>
          <t>1054</t>
        </is>
      </c>
      <c r="D26" t="inlineStr">
        <is>
          <t>Riverbend Tooling</t>
        </is>
      </c>
      <c r="E26" s="16" t="inlineStr">
        <is>
          <t>Riverbend Tooling - machine repair parts</t>
        </is>
      </c>
      <c r="F26" s="66" t="n">
        <v>4550</v>
      </c>
      <c r="G26" s="66" t="n"/>
      <c r="H26" s="66">
        <f>H25-F26+G26</f>
        <v/>
      </c>
      <c r="J26" s="16" t="str"/>
    </row>
    <row r="27">
      <c r="A27" s="65" t="n">
        <v>46100</v>
      </c>
      <c r="B27" t="inlineStr">
        <is>
          <t>Expense</t>
        </is>
      </c>
      <c r="C27" t="inlineStr">
        <is>
          <t>ACH-SALESTAX</t>
        </is>
      </c>
      <c r="D27" t="inlineStr">
        <is>
          <t>Virginia sales tax payment</t>
        </is>
      </c>
      <c r="E27" s="16" t="inlineStr">
        <is>
          <t>Virginia sales tax payment</t>
        </is>
      </c>
      <c r="F27" s="66" t="n">
        <v>2910</v>
      </c>
      <c r="G27" s="66" t="n"/>
      <c r="H27" s="66">
        <f>H26-F27+G27</f>
        <v/>
      </c>
      <c r="J27" s="16" t="str"/>
    </row>
    <row r="28">
      <c r="A28" s="65" t="n">
        <v>46101</v>
      </c>
      <c r="B28" t="inlineStr">
        <is>
          <t>Deposit</t>
        </is>
      </c>
      <c r="C28" t="inlineStr">
        <is>
          <t>DEP-3007</t>
        </is>
      </c>
      <c r="D28" t="inlineStr">
        <is>
          <t>Shenandoah Office Solutions</t>
        </is>
      </c>
      <c r="E28" s="16" t="inlineStr">
        <is>
          <t>Shenandoah Office Solutions - customer payment</t>
        </is>
      </c>
      <c r="F28" s="66" t="n"/>
      <c r="G28" s="66" t="n">
        <v>7250</v>
      </c>
      <c r="H28" s="66">
        <f>H27-F28+G28</f>
        <v/>
      </c>
      <c r="J28" s="16" t="str"/>
    </row>
    <row r="29">
      <c r="A29" s="65" t="n">
        <v>46102</v>
      </c>
      <c r="B29" t="inlineStr">
        <is>
          <t>Expense</t>
        </is>
      </c>
      <c r="C29" t="inlineStr">
        <is>
          <t>ACH-WHSE</t>
        </is>
      </c>
      <c r="D29" t="inlineStr">
        <is>
          <t>BluePeak Warehouse</t>
        </is>
      </c>
      <c r="E29" s="16" t="inlineStr">
        <is>
          <t>BluePeak Warehouse - storage charge</t>
        </is>
      </c>
      <c r="F29" s="66" t="n">
        <v>1850</v>
      </c>
      <c r="G29" s="66" t="n"/>
      <c r="H29" s="66">
        <f>H28-F29+G29</f>
        <v/>
      </c>
      <c r="J29" s="16" t="str"/>
    </row>
    <row r="30">
      <c r="A30" s="65" t="n">
        <v>46103</v>
      </c>
      <c r="B30" t="inlineStr">
        <is>
          <t>Check</t>
        </is>
      </c>
      <c r="C30" t="inlineStr">
        <is>
          <t>1055</t>
        </is>
      </c>
      <c r="D30" t="inlineStr">
        <is>
          <t>Shenandoah Electronics</t>
        </is>
      </c>
      <c r="E30" s="16" t="inlineStr">
        <is>
          <t>Shenandoah Electronics - control panels</t>
        </is>
      </c>
      <c r="F30" s="66" t="n">
        <v>6110</v>
      </c>
      <c r="G30" s="66" t="n"/>
      <c r="H30" s="66">
        <f>H29-F30+G30</f>
        <v/>
      </c>
      <c r="J30" s="16" t="str"/>
    </row>
    <row r="31">
      <c r="A31" s="65" t="n">
        <v>46104</v>
      </c>
      <c r="B31" t="inlineStr">
        <is>
          <t>Deposit</t>
        </is>
      </c>
      <c r="C31" t="inlineStr">
        <is>
          <t>DEP-3008</t>
        </is>
      </c>
      <c r="D31" t="inlineStr">
        <is>
          <t>Arlington Workspace Partners</t>
        </is>
      </c>
      <c r="E31" s="16" t="inlineStr">
        <is>
          <t>Arlington Workspace Partners - customer payment</t>
        </is>
      </c>
      <c r="F31" s="66" t="n"/>
      <c r="G31" s="66" t="n">
        <v>10450</v>
      </c>
      <c r="H31" s="66">
        <f>H30-F31+G31</f>
        <v/>
      </c>
      <c r="J31" s="16" t="str"/>
    </row>
    <row r="32">
      <c r="A32" s="65" t="n">
        <v>46105</v>
      </c>
      <c r="B32" t="inlineStr">
        <is>
          <t>Expense</t>
        </is>
      </c>
      <c r="C32" t="inlineStr">
        <is>
          <t>ACH-ER</t>
        </is>
      </c>
      <c r="D32" t="inlineStr">
        <is>
          <t>Employee expense reimbursements</t>
        </is>
      </c>
      <c r="E32" s="16" t="inlineStr">
        <is>
          <t>Employee expense reimbursements</t>
        </is>
      </c>
      <c r="F32" s="66" t="n">
        <v>1265</v>
      </c>
      <c r="G32" s="66" t="n"/>
      <c r="H32" s="66">
        <f>H31-F32+G32</f>
        <v/>
      </c>
      <c r="J32" s="16" t="str"/>
    </row>
    <row r="33">
      <c r="A33" s="65" t="n">
        <v>46106</v>
      </c>
      <c r="B33" t="inlineStr">
        <is>
          <t>Deposit</t>
        </is>
      </c>
      <c r="C33" t="inlineStr">
        <is>
          <t>DEP-3009</t>
        </is>
      </c>
      <c r="D33" t="inlineStr">
        <is>
          <t>Alexandria Contractors</t>
        </is>
      </c>
      <c r="E33" s="16" t="inlineStr">
        <is>
          <t>Alexandria Contractors - customer payment</t>
        </is>
      </c>
      <c r="F33" s="66" t="n"/>
      <c r="G33" s="66" t="n">
        <v>13950</v>
      </c>
      <c r="H33" s="66">
        <f>H32-F33+G33</f>
        <v/>
      </c>
      <c r="J33" s="16" t="str"/>
    </row>
    <row r="34">
      <c r="A34" s="65" t="n">
        <v>46107</v>
      </c>
      <c r="B34" t="inlineStr">
        <is>
          <t>Check</t>
        </is>
      </c>
      <c r="C34" t="inlineStr">
        <is>
          <t>1056</t>
        </is>
      </c>
      <c r="D34" t="inlineStr">
        <is>
          <t>Capital Packaging Co.</t>
        </is>
      </c>
      <c r="E34" s="16" t="inlineStr">
        <is>
          <t>Capital Packaging Co. - packaging supplies</t>
        </is>
      </c>
      <c r="F34" s="66" t="n">
        <v>2235</v>
      </c>
      <c r="G34" s="66" t="n"/>
      <c r="H34" s="66">
        <f>H33-F34+G34</f>
        <v/>
      </c>
      <c r="J34" s="16" t="str"/>
    </row>
    <row r="35">
      <c r="A35" s="65" t="n">
        <v>46108</v>
      </c>
      <c r="B35" t="inlineStr">
        <is>
          <t>Expense</t>
        </is>
      </c>
      <c r="C35" t="inlineStr">
        <is>
          <t>ACH-FEDTAX</t>
        </is>
      </c>
      <c r="D35" t="inlineStr">
        <is>
          <t>Federal tax deposit</t>
        </is>
      </c>
      <c r="E35" s="16" t="inlineStr">
        <is>
          <t>Federal tax deposit</t>
        </is>
      </c>
      <c r="F35" s="66" t="n">
        <v>6425</v>
      </c>
      <c r="G35" s="66" t="n"/>
      <c r="H35" s="66">
        <f>H34-F35+G35</f>
        <v/>
      </c>
      <c r="J35" s="16" t="str"/>
    </row>
    <row r="36">
      <c r="A36" s="65" t="n">
        <v>46109</v>
      </c>
      <c r="B36" t="inlineStr">
        <is>
          <t>Bill Payment</t>
        </is>
      </c>
      <c r="C36" t="inlineStr">
        <is>
          <t>WIRE-LOAN</t>
        </is>
      </c>
      <c r="D36" t="inlineStr">
        <is>
          <t>Atlantic Commercial Bank</t>
        </is>
      </c>
      <c r="E36" s="16" t="inlineStr">
        <is>
          <t>Atlantic Commercial Bank - monthly loan payment</t>
        </is>
      </c>
      <c r="F36" s="66" t="n">
        <v>3818.22</v>
      </c>
      <c r="G36" s="66" t="n"/>
      <c r="H36" s="66">
        <f>H35-F36+G36</f>
        <v/>
      </c>
      <c r="J36" s="16" t="str"/>
    </row>
    <row r="37">
      <c r="A37" s="65" t="n">
        <v>46110</v>
      </c>
      <c r="B37" t="inlineStr">
        <is>
          <t>Expense</t>
        </is>
      </c>
      <c r="C37" t="inlineStr">
        <is>
          <t>ACH-SHIP</t>
        </is>
      </c>
      <c r="D37" t="inlineStr">
        <is>
          <t>QuickShip Logistics</t>
        </is>
      </c>
      <c r="E37" s="16" t="inlineStr">
        <is>
          <t>QuickShip Logistics - delivery services</t>
        </is>
      </c>
      <c r="F37" s="66" t="n">
        <v>890</v>
      </c>
      <c r="G37" s="66" t="n"/>
      <c r="H37" s="66">
        <f>H36-F37+G37</f>
        <v/>
      </c>
      <c r="J37" s="16" t="str"/>
    </row>
    <row r="38">
      <c r="A38" s="65" t="n">
        <v>46111</v>
      </c>
      <c r="B38" t="inlineStr">
        <is>
          <t>Deposit</t>
        </is>
      </c>
      <c r="C38" t="inlineStr">
        <is>
          <t>DEP-3010</t>
        </is>
      </c>
      <c r="D38" t="inlineStr">
        <is>
          <t>Tidewater Construction Supply</t>
        </is>
      </c>
      <c r="E38" s="16" t="inlineStr">
        <is>
          <t>Tidewater Construction Supply - customer payment</t>
        </is>
      </c>
      <c r="F38" s="66" t="n"/>
      <c r="G38" s="66" t="n">
        <v>16100</v>
      </c>
      <c r="H38" s="66">
        <f>H37-F38+G38</f>
        <v/>
      </c>
      <c r="J38" s="16" t="str"/>
    </row>
    <row r="39">
      <c r="A39" s="65" t="n">
        <v>46112</v>
      </c>
      <c r="B39" t="inlineStr">
        <is>
          <t>Deposit</t>
        </is>
      </c>
      <c r="C39" t="inlineStr">
        <is>
          <t>DEP-3011</t>
        </is>
      </c>
      <c r="D39" t="inlineStr">
        <is>
          <t>Dulles Industrial Interiors</t>
        </is>
      </c>
      <c r="E39" s="16" t="inlineStr">
        <is>
          <t>Dulles Industrial Interiors - customer payment</t>
        </is>
      </c>
      <c r="F39" s="66" t="n"/>
      <c r="G39" s="66" t="n">
        <v>12500</v>
      </c>
      <c r="H39" s="66">
        <f>H38-F39+G39</f>
        <v/>
      </c>
      <c r="J39" s="16" t="str"/>
    </row>
    <row r="40">
      <c r="A40" s="65" t="n">
        <v>46112</v>
      </c>
      <c r="B40" t="inlineStr">
        <is>
          <t>Expense</t>
        </is>
      </c>
      <c r="C40" t="inlineStr">
        <is>
          <t>FEE-MERCH</t>
        </is>
      </c>
      <c r="D40" t="inlineStr">
        <is>
          <t>Merchant processing fees</t>
        </is>
      </c>
      <c r="E40" s="16" t="inlineStr">
        <is>
          <t>Merchant processing fees</t>
        </is>
      </c>
      <c r="F40" s="66" t="n">
        <v>215.6</v>
      </c>
      <c r="G40" s="66" t="n"/>
      <c r="H40" s="66">
        <f>H39-F40+G40</f>
        <v/>
      </c>
      <c r="J40" s="16" t="str"/>
    </row>
    <row r="41">
      <c r="A41" s="65" t="n">
        <v>46112</v>
      </c>
      <c r="B41" t="inlineStr">
        <is>
          <t>Expense</t>
        </is>
      </c>
      <c r="C41" t="inlineStr">
        <is>
          <t>FEE-RETURN</t>
        </is>
      </c>
      <c r="D41" t="inlineStr">
        <is>
          <t>Returned item bank fee</t>
        </is>
      </c>
      <c r="E41" s="16" t="inlineStr">
        <is>
          <t>Returned item bank fee</t>
        </is>
      </c>
      <c r="F41" s="66" t="n">
        <v>25</v>
      </c>
      <c r="G41" s="66" t="n"/>
      <c r="H41" s="66">
        <f>H40-F41+G41</f>
        <v/>
      </c>
      <c r="J41" s="16" t="str"/>
    </row>
    <row r="42">
      <c r="A42" s="65" t="n">
        <v>46112</v>
      </c>
      <c r="B42" t="inlineStr">
        <is>
          <t>Deposit</t>
        </is>
      </c>
      <c r="C42" t="inlineStr">
        <is>
          <t>INT-003</t>
        </is>
      </c>
      <c r="D42" t="inlineStr">
        <is>
          <t>Interest earned on operating account</t>
        </is>
      </c>
      <c r="E42" s="16" t="inlineStr">
        <is>
          <t>Interest earned on operating account</t>
        </is>
      </c>
      <c r="F42" s="66" t="n"/>
      <c r="G42" s="66" t="n">
        <v>15.2</v>
      </c>
      <c r="H42" s="66">
        <f>H41-F42+G42</f>
        <v/>
      </c>
      <c r="J42" s="16" t="str"/>
    </row>
  </sheetData>
  <mergeCells count="1">
    <mergeCell ref="A1:J1"/>
  </mergeCells>
  <dataValidations count="1">
    <dataValidation sqref="I7:I42" showDropDown="0" showInputMessage="0" showErrorMessage="0" allowBlank="0" type="list">
      <formula1>"Yes,No,Investigate"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" customWidth="1" min="3" max="3"/>
    <col width="48" customWidth="1" min="4" max="4"/>
  </cols>
  <sheetData>
    <row r="1" ht="24" customHeight="1">
      <c r="A1" s="8" t="inlineStr">
        <is>
          <t>March 2026 Bank Reconciliation Worksheet</t>
        </is>
      </c>
      <c r="B1" s="1" t="n"/>
      <c r="C1" s="1" t="n"/>
      <c r="D1" s="1" t="n"/>
    </row>
    <row r="3">
      <c r="A3" s="20" t="inlineStr">
        <is>
          <t>Instructions</t>
        </is>
      </c>
      <c r="B3" s="23" t="inlineStr">
        <is>
          <t>Enter student answers in yellow cells. Use positive numbers unless the row says +/-.</t>
        </is>
      </c>
      <c r="C3" s="1" t="n"/>
      <c r="D3" s="1" t="n"/>
    </row>
    <row r="5">
      <c r="A5" s="11" t="inlineStr">
        <is>
          <t>Bank Side</t>
        </is>
      </c>
      <c r="B5" s="11" t="str"/>
      <c r="C5" s="11" t="str"/>
      <c r="D5" s="11" t="str"/>
    </row>
    <row r="6">
      <c r="A6" t="inlineStr">
        <is>
          <t>Bank statement ending balance</t>
        </is>
      </c>
      <c r="B6" s="66">
        <f>'Bank Statement'!E7</f>
        <v/>
      </c>
      <c r="D6" t="inlineStr">
        <is>
          <t>Pulled from bank statement summary</t>
        </is>
      </c>
    </row>
    <row r="7">
      <c r="A7" t="inlineStr">
        <is>
          <t>Add: deposits in transit</t>
        </is>
      </c>
      <c r="B7" s="67" t="str"/>
      <c r="D7" t="inlineStr">
        <is>
          <t>Student input</t>
        </is>
      </c>
    </row>
    <row r="8">
      <c r="A8" t="inlineStr">
        <is>
          <t>Less: outstanding checks</t>
        </is>
      </c>
      <c r="B8" s="67" t="str"/>
      <c r="D8" t="inlineStr">
        <is>
          <t>Student input</t>
        </is>
      </c>
    </row>
    <row r="9">
      <c r="A9" s="47" t="inlineStr">
        <is>
          <t>Adjusted bank balance</t>
        </is>
      </c>
      <c r="B9" s="68">
        <f>B6+B7-B8</f>
        <v/>
      </c>
      <c r="C9" s="47" t="str"/>
      <c r="D9" s="47" t="inlineStr">
        <is>
          <t>Formula</t>
        </is>
      </c>
    </row>
    <row r="10">
      <c r="B10" s="66" t="str"/>
    </row>
    <row r="11">
      <c r="A11" s="11" t="inlineStr">
        <is>
          <t>Book Side</t>
        </is>
      </c>
      <c r="B11" s="69" t="str"/>
      <c r="C11" s="11" t="str"/>
      <c r="D11" s="11" t="str"/>
    </row>
    <row r="12">
      <c r="A12" t="inlineStr">
        <is>
          <t>QuickBooks ending balance</t>
        </is>
      </c>
      <c r="B12" s="66">
        <f>'QuickBooks Register'!H42</f>
        <v/>
      </c>
      <c r="D12" t="inlineStr">
        <is>
          <t>Pulled from QB register</t>
        </is>
      </c>
    </row>
    <row r="13">
      <c r="A13" t="inlineStr">
        <is>
          <t>Add: bank credits not recorded in QuickBooks</t>
        </is>
      </c>
      <c r="B13" s="67" t="str"/>
      <c r="D13" t="inlineStr">
        <is>
          <t>Example: interest income</t>
        </is>
      </c>
    </row>
    <row r="14">
      <c r="A14" t="inlineStr">
        <is>
          <t>Less: bank debits not recorded in QuickBooks</t>
        </is>
      </c>
      <c r="B14" s="67" t="str"/>
      <c r="D14" t="inlineStr">
        <is>
          <t>Example: bank fees, ACH withdrawals</t>
        </is>
      </c>
    </row>
    <row r="15">
      <c r="A15" t="inlineStr">
        <is>
          <t>Book correction for amount errors (+/-)</t>
        </is>
      </c>
      <c r="B15" s="67" t="str"/>
      <c r="D15" t="inlineStr">
        <is>
          <t>Use positive or negative number</t>
        </is>
      </c>
    </row>
    <row r="16">
      <c r="A16" t="inlineStr">
        <is>
          <t>Less: duplicate book entries (+/-)</t>
        </is>
      </c>
      <c r="B16" s="67" t="str"/>
      <c r="D16" t="inlineStr">
        <is>
          <t>Student input</t>
        </is>
      </c>
    </row>
    <row r="17">
      <c r="A17" s="47" t="inlineStr">
        <is>
          <t>Adjusted book balance</t>
        </is>
      </c>
      <c r="B17" s="68">
        <f>B12+B13-B14+B15-B16</f>
        <v/>
      </c>
      <c r="C17" s="47" t="str"/>
      <c r="D17" s="47" t="inlineStr">
        <is>
          <t>Formula</t>
        </is>
      </c>
    </row>
    <row r="18">
      <c r="B18" s="66" t="str"/>
    </row>
    <row r="19">
      <c r="A19" t="inlineStr">
        <is>
          <t>Difference: adjusted bank minus adjusted book</t>
        </is>
      </c>
      <c r="B19" s="66">
        <f>B9-B17</f>
        <v/>
      </c>
      <c r="D19" t="inlineStr">
        <is>
          <t>Should be zero when complete</t>
        </is>
      </c>
    </row>
    <row r="20">
      <c r="A20" s="51" t="n"/>
      <c r="B20" s="70" t="n"/>
      <c r="C20" s="51" t="n"/>
      <c r="D20" s="51" t="n"/>
    </row>
    <row r="23">
      <c r="A23" s="38" t="inlineStr">
        <is>
          <t>Questions</t>
        </is>
      </c>
      <c r="B23" s="38" t="str"/>
    </row>
    <row r="24">
      <c r="A24" t="inlineStr">
        <is>
          <t>1</t>
        </is>
      </c>
      <c r="B24" s="16" t="inlineStr">
        <is>
          <t>Which bank statement transactions are missing from QuickBooks?</t>
        </is>
      </c>
    </row>
    <row r="25">
      <c r="A25" t="inlineStr">
        <is>
          <t>2</t>
        </is>
      </c>
      <c r="B25" s="16" t="inlineStr">
        <is>
          <t>Which QuickBooks transactions are outstanding and did not clear the bank this month?</t>
        </is>
      </c>
    </row>
    <row r="26">
      <c r="A26" t="inlineStr">
        <is>
          <t>3</t>
        </is>
      </c>
      <c r="B26" s="16" t="inlineStr">
        <is>
          <t>Are there any duplicate book entries? If yes, list the transaction and amount.</t>
        </is>
      </c>
    </row>
    <row r="27">
      <c r="A27" t="inlineStr">
        <is>
          <t>4</t>
        </is>
      </c>
      <c r="B27" s="16" t="inlineStr">
        <is>
          <t>Are there any wrong-amount entries? If yes, list the correct bank amount and the QuickBooks amount.</t>
        </is>
      </c>
    </row>
    <row r="28">
      <c r="A28" t="inlineStr">
        <is>
          <t>5</t>
        </is>
      </c>
      <c r="B28" s="16" t="inlineStr">
        <is>
          <t>What adjusting journal entries or corrections should be made before month-end close?</t>
        </is>
      </c>
    </row>
  </sheetData>
  <mergeCells count="2">
    <mergeCell ref="A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2026-07-15T18:49:52Z</dcterms:created>
  <dcterms:modified xmlns:dcterms="http://purl.org/dc/terms/" xmlns:xsi="http://www.w3.org/2001/XMLSchema-instance" xsi:type="dcterms:W3CDTF">2026-07-15T18:49:52Z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0x0101007FFCDA72B33F704B902DF05EFF11A127</vt:lpwstr>
  </property>
</Properties>
</file>