
<file path=[Content_Types].xml><?xml version="1.0" encoding="utf-8"?>
<Types xmlns="http://schemas.openxmlformats.org/package/2006/content-types">
  <Default Extension="rels" ContentType="application/vnd.openxmlformats-package.relationships+xml"/>
  <Default Extension="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customXml/item1.xml" ContentType="application/xml"/>
  <Override PartName="/customXml/itemProps1.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4401613db04d4603" Type="http://schemas.openxmlformats.org/officeDocument/2006/relationships/officeDocument" Target="/xl/workbook.xml"/><Relationship Id="rId1" Type="http://schemas.openxmlformats.org/officeDocument/2006/relationships/custom-properties" Target="docProps/custom.xml"/></Relationships>
</file>

<file path=xl/workbook.xml><?xml version="1.0" encoding="utf-8"?>
<x:workbook xmlns:x="http://schemas.openxmlformats.org/spreadsheetml/2006/main">
  <x:sheets>
    <x:sheet xmlns:r="http://schemas.openxmlformats.org/officeDocument/2006/relationships" name="Instructions" sheetId="1" r:id="R17463b6719894e75"/>
    <x:sheet xmlns:r="http://schemas.openxmlformats.org/officeDocument/2006/relationships" name="Invoice Index" sheetId="2" r:id="R45f8b0793a79402d"/>
    <x:sheet xmlns:r="http://schemas.openxmlformats.org/officeDocument/2006/relationships" name="Student PO-Receiving Data" sheetId="3" r:id="Re1d58eca47ae45c3"/>
    <x:sheet xmlns:r="http://schemas.openxmlformats.org/officeDocument/2006/relationships" name="Instructor Key" sheetId="4" r:id="R773f622b0e734a5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m/d/yyyy"/>
  </x:numFmts>
  <x:fonts count="4">
    <x:font>
      <x:sz val="11"/>
      <x:name val="Carlito"/>
    </x:font>
    <x:font>
      <x:b/>
      <x:sz val="14"/>
      <x:color rgb="FFFFFFFF"/>
      <x:name val="Carlito"/>
    </x:font>
    <x:font>
      <x:b/>
      <x:sz val="11"/>
      <x:name val="Carlito"/>
    </x:font>
    <x:font>
      <x:b/>
      <x:sz val="11"/>
      <x:color rgb="FFFFFFFF"/>
      <x:name val="Carlito"/>
    </x:font>
  </x:fonts>
  <x:fills count="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7030A0"/>
      </x:patternFill>
    </x:fill>
  </x:fills>
  <x:borders count="2">
    <x:border/>
    <x:border/>
  </x:borders>
  <x:cellStyleXfs count="1">
    <x:xf numFmtId="0" fontId="0" fillId="0" borderId="0"/>
  </x:cellStyleXfs>
  <x:cellXfs count="3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1" fillId="2" borderId="0" xfId="0" applyNumberFormat="1" applyFont="1" applyFill="1" applyBorder="1" applyAlignment="1">
      <x:alignment horizontal="center" wrapText="1"/>
    </x:xf>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x:xf numFmtId="0" fontId="3" fillId="2"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3" fillId="2" borderId="0" xfId="0" applyNumberFormat="1" applyFont="1" applyFill="1" applyBorder="1" applyAlignment="1">
      <x:alignment horizontal="center" wrapText="1"/>
    </x:xf>
    <x:xf numFmtId="201"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3" fillId="2" borderId="1" xfId="0" applyNumberFormat="1" applyFont="1" applyFill="1" applyBorder="1" applyAlignment="1">
      <x:alignment horizontal="center" wrapText="1"/>
    </x:xf>
    <x:xf numFmtId="201"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3" fillId="4" borderId="0" xfId="0" applyNumberFormat="1" applyFont="1" applyFill="1" applyBorder="1" applyAlignment="1">
      <x:alignment horizontal="center" wrapText="1"/>
    </x:xf>
  </x:cellXfs>
  <x:cellStyles count="1">
    <x:cellStyle name="Normal" xfId="0"/>
  </x:cellStyles>
  <x:dxfs count="2">
    <x:dxf>
      <x:font>
        <x:color rgb="FF991B1B"/>
      </x:font>
      <x:fill>
        <x:patternFill patternType="solid">
          <x:bgColor rgb="FFFECACA"/>
        </x:patternFill>
      </x:fill>
    </x:dxf>
    <x:dxf>
      <x:fill>
        <x:patternFill patternType="solid">
          <x:bgColor rgb="FFFEF3C7"/>
        </x:patternFill>
      </x:fill>
    </x:dxf>
  </x:dxfs>
</x:styleSheet>
</file>

<file path=xl/_rels/workbook.xml.rels><?xml version="1.0" encoding="UTF-8" standalone="yes"?>
<Relationships xmlns="http://schemas.openxmlformats.org/package/2006/relationships"><Relationship Id="Re1d58eca47ae45c3" Type="http://schemas.openxmlformats.org/officeDocument/2006/relationships/worksheet" Target="/xl/worksheets/sheet3.xml"/><Relationship Id="R546625b56e45440a" Type="http://schemas.openxmlformats.org/officeDocument/2006/relationships/theme" Target="/xl/theme/theme1.xml"/><Relationship Id="rId3" Type="http://schemas.openxmlformats.org/officeDocument/2006/relationships/customXml" Target="../customXml/item3.xml"/><Relationship Id="R773f622b0e734a5f" Type="http://schemas.openxmlformats.org/officeDocument/2006/relationships/worksheet" Target="/xl/worksheets/sheet4.xml"/><Relationship Id="R17463b6719894e75" Type="http://schemas.openxmlformats.org/officeDocument/2006/relationships/worksheet" Target="/xl/worksheets/sheet1.xml"/><Relationship Id="rId2" Type="http://schemas.openxmlformats.org/officeDocument/2006/relationships/customXml" Target="../customXml/item2.xml"/><Relationship Id="R40ddeff159b34189" Type="http://schemas.openxmlformats.org/officeDocument/2006/relationships/styles" Target="/xl/styles.xml"/><Relationship Id="R45f8b0793a79402d" Type="http://schemas.openxmlformats.org/officeDocument/2006/relationships/worksheet" Target="/xl/worksheets/sheet2.xml"/><Relationship Id="rId1" Type="http://schemas.openxmlformats.org/officeDocument/2006/relationships/customXml" Target="../customXml/item1.xml"/><Relationship Id="Rfc98d839e60c4582" Type="http://schemas.openxmlformats.org/officeDocument/2006/relationships/sharedStrings" Target="/xl/sharedStrings.xml"/></Relationships>
</file>

<file path=xl/tables/table1.xml><?xml version="1.0" encoding="utf-8"?>
<x:table xmlns:x="http://schemas.openxmlformats.org/spreadsheetml/2006/main" id="1" name="InvoiceIndexTable" displayName="InvoiceIndexTable" ref="A1:O31" headerRowCount="1">
  <x:tableColumns count="15">
    <x:tableColumn id="1" name="Seq"/>
    <x:tableColumn id="2" name="Invoice File"/>
    <x:tableColumn id="3" name="Vendor"/>
    <x:tableColumn id="4" name="Vendor ID"/>
    <x:tableColumn id="5" name="Invoice No."/>
    <x:tableColumn id="6" name="Invoice Date"/>
    <x:tableColumn id="7" name="PO Number"/>
    <x:tableColumn id="8" name="Terms"/>
    <x:tableColumn id="9" name="Due Date"/>
    <x:tableColumn id="10" name="Subtotal"/>
    <x:tableColumn id="11" name="Sales Tax"/>
    <x:tableColumn id="12" name="Freight"/>
    <x:tableColumn id="13" name="Invoice Total"/>
    <x:tableColumn id="14" name="Student Decision"/>
    <x:tableColumn id="15" name="Student Notes"/>
  </x:tableColumns>
  <x:tableStyleInfo name="TableStyleMedium2" showRowStripes="1"/>
</x:table>
</file>

<file path=xl/tables/table2.xml><?xml version="1.0" encoding="utf-8"?>
<x:table xmlns:x="http://schemas.openxmlformats.org/spreadsheetml/2006/main" id="2" name="StudentPOReceivingTable" displayName="StudentPOReceivingTable" ref="A1:O31" headerRowCount="1">
  <x:tableColumns count="15">
    <x:tableColumn id="1" name="Seq"/>
    <x:tableColumn id="2" name="Vendor"/>
    <x:tableColumn id="3" name="Invoice No."/>
    <x:tableColumn id="4" name="PO Number"/>
    <x:tableColumn id="5" name="PO / Reference Description"/>
    <x:tableColumn id="6" name="PO Qty"/>
    <x:tableColumn id="7" name="PO Unit Price"/>
    <x:tableColumn id="8" name="Received Qty"/>
    <x:tableColumn id="9" name="Invoice Qty"/>
    <x:tableColumn id="10" name="Invoice Unit Price"/>
    <x:tableColumn id="11" name="Expected PO/Receipt Total"/>
    <x:tableColumn id="12" name="Invoice Total"/>
    <x:tableColumn id="13" name="Variance"/>
    <x:tableColumn id="14" name="Student Match Result"/>
    <x:tableColumn id="15" name="Student Notes"/>
  </x:tableColumns>
  <x:tableStyleInfo name="TableStyleMedium2" showRowStripes="1"/>
</x:table>
</file>

<file path=xl/tables/table3.xml><?xml version="1.0" encoding="utf-8"?>
<x:table xmlns:x="http://schemas.openxmlformats.org/spreadsheetml/2006/main" id="3" name="InstructorKeyTable" displayName="InstructorKeyTable" ref="A1:I31" headerRowCount="1">
  <x:tableColumns count="9">
    <x:tableColumn id="1" name="Seq"/>
    <x:tableColumn id="2" name="Vendor"/>
    <x:tableColumn id="3" name="Invoice No."/>
    <x:tableColumn id="4" name="Invoice Total"/>
    <x:tableColumn id="5" name="Issue Type"/>
    <x:tableColumn id="6" name="Expected Action"/>
    <x:tableColumn id="7" name="Expected PO/Receipt Total"/>
    <x:tableColumn id="8" name="Variance"/>
    <x:tableColumn id="9" name="Notes / Receiving Problem"/>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7bc6196771840de" /></Relationships>
</file>

<file path=xl/worksheets/_rels/sheet3.xml.rels>&#65279;<?xml version="1.0" encoding="utf-8"?><Relationships xmlns="http://schemas.openxmlformats.org/package/2006/relationships"><Relationship Type="http://schemas.openxmlformats.org/officeDocument/2006/relationships/table" Target="/xl/tables/table2.xml" Id="R76bf5b9a26d541a2" /></Relationships>
</file>

<file path=xl/worksheets/_rels/sheet4.xml.rels>&#65279;<?xml version="1.0" encoding="utf-8"?><Relationships xmlns="http://schemas.openxmlformats.org/package/2006/relationships"><Relationship Type="http://schemas.openxmlformats.org/officeDocument/2006/relationships/table" Target="/xl/tables/table3.xml" Id="R6bfff7b5d59849d7" /></Relationships>
</file>

<file path=xl/worksheets/sheet1.xml><?xml version="1.0" encoding="utf-8"?>
<x:worksheet xmlns:x="http://schemas.openxmlformats.org/spreadsheetml/2006/main">
  <x:sheetFormatPr defaultRowHeight="15"/>
  <x:cols>
    <x:col min="1" max="1" width="18" hidden="0" customWidth="1"/>
    <x:col min="2" max="2" width="95" hidden="0" customWidth="1"/>
  </x:cols>
  <x:sheetData>
    <x:row r="1" ht="33" customHeight="1">
      <x:c r="A1" s="12" t="str">
        <x:v>Skarion Manufacturing LLC - Assignment 5 Vendor Invoice Pack</x:v>
      </x:c>
      <x:c r="B1" s="12"/>
    </x:row>
    <x:row r="2" ht="33" customHeight="1">
      <x:c r="A2" s="13" t="str">
        <x:v>Purpose</x:v>
      </x:c>
      <x:c r="B2" s="14" t="str">
        <x:v>Use the 30 invoice PDFs to practice accounts payable processing, vendor bill entry, 3-way matching, approvals, holds, duplicate detection, and AP coding.</x:v>
      </x:c>
    </x:row>
    <x:row r="3" ht="33" customHeight="1">
      <x:c r="A3" s="13" t="str">
        <x:v>Student workflow</x:v>
      </x:c>
      <x:c r="B3" s="14" t="str">
        <x:v>1) Open each invoice PDF. 2) Compare invoice details to the PO and receiving data. 3) Decide whether to approve, hold, reject duplicate, or request correction. 4) Enter the bill only when it is approved.</x:v>
      </x:c>
    </x:row>
    <x:row r="4" ht="33" customHeight="1">
      <x:c r="A4" s="13" t="str">
        <x:v>Important rule</x:v>
      </x:c>
      <x:c r="B4" s="14" t="str">
        <x:v>Raw material bills over $500 should have a PO. If an invoice has no PO, place it on hold unless a manager approves it.</x:v>
      </x:c>
    </x:row>
    <x:row r="5" ht="33" customHeight="1">
      <x:c r="A5" s="13" t="str">
        <x:v>Tax rule</x:v>
      </x:c>
      <x:c r="B5" s="14" t="str">
        <x:v>Use the sales tax shown on the vendor invoice. Do not calculate tax again unless the assignment asks you to audit tax.</x:v>
      </x:c>
    </x:row>
    <x:row r="6" ht="33" customHeight="1">
      <x:c r="A6" s="13" t="str">
        <x:v>Duplicate rule</x:v>
      </x:c>
      <x:c r="B6" s="14" t="str">
        <x:v>If the same vendor invoice number appears twice, do not enter the second copy as a new bill.</x:v>
      </x:c>
    </x:row>
    <x:row r="7" ht="33" customHeight="1">
      <x:c r="A7" s="13" t="str">
        <x:v>Instructor note</x:v>
      </x:c>
      <x:c r="B7" s="14" t="str">
        <x:v>The Instructor Key sheet contains the expected answer for each invoice. Hide or remove that sheet before giving the workbook to students if needed.</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5.880000114440918" hidden="0" customWidth="1"/>
    <x:col min="2" max="2" width="40" hidden="0" customWidth="1"/>
    <x:col min="3" max="3" width="28" hidden="0" customWidth="1"/>
    <x:col min="4" max="4" width="10.630000114440918" hidden="0" customWidth="1"/>
    <x:col min="5" max="5" width="11.75" hidden="0" customWidth="1"/>
    <x:col min="6" max="6" width="12.5" hidden="0" customWidth="1"/>
    <x:col min="7" max="7" width="11.880000114440918" hidden="0" customWidth="1"/>
    <x:col min="8" max="8" width="14" hidden="0" customWidth="1"/>
    <x:col min="9" max="9" width="10.130000114440918" hidden="0" customWidth="1"/>
    <x:col min="10" max="10" width="9.5" hidden="0" customWidth="1"/>
    <x:col min="11" max="11" width="9.880000114440918" hidden="0" customWidth="1"/>
    <x:col min="12" max="12" width="8.380000114440918" hidden="0" customWidth="1"/>
    <x:col min="13" max="13" width="12.630000114440918" hidden="0" customWidth="1"/>
    <x:col min="14" max="14" width="24" hidden="0" customWidth="1"/>
    <x:col min="15" max="15" width="24" hidden="0" customWidth="1"/>
  </x:cols>
  <x:sheetData>
    <x:row r="1">
      <x:c r="A1" s="26" t="str">
        <x:v>Seq</x:v>
      </x:c>
      <x:c r="B1" s="26" t="str">
        <x:v>Invoice File</x:v>
      </x:c>
      <x:c r="C1" s="26" t="str">
        <x:v>Vendor</x:v>
      </x:c>
      <x:c r="D1" s="26" t="str">
        <x:v>Vendor ID</x:v>
      </x:c>
      <x:c r="E1" s="26" t="str">
        <x:v>Invoice No.</x:v>
      </x:c>
      <x:c r="F1" s="26" t="str">
        <x:v>Invoice Date</x:v>
      </x:c>
      <x:c r="G1" s="26" t="str">
        <x:v>PO Number</x:v>
      </x:c>
      <x:c r="H1" s="26" t="str">
        <x:v>Terms</x:v>
      </x:c>
      <x:c r="I1" s="26" t="str">
        <x:v>Due Date</x:v>
      </x:c>
      <x:c r="J1" s="26" t="str">
        <x:v>Subtotal</x:v>
      </x:c>
      <x:c r="K1" s="26" t="str">
        <x:v>Sales Tax</x:v>
      </x:c>
      <x:c r="L1" s="26" t="str">
        <x:v>Freight</x:v>
      </x:c>
      <x:c r="M1" s="26" t="str">
        <x:v>Invoice Total</x:v>
      </x:c>
      <x:c r="N1" s="26" t="str">
        <x:v>Student Decision</x:v>
      </x:c>
      <x:c r="O1" s="26" t="str">
        <x:v>Student Notes</x:v>
      </x:c>
    </x:row>
    <x:row r="2">
      <x:c r="A2" s="14" t="n">
        <x:v>1</x:v>
      </x:c>
      <x:c r="B2" s="14" t="str">
        <x:v>SMI_AP_Invoice_001_Potomac_Steel_Supply_PSS-2601-001.pdf</x:v>
      </x:c>
      <x:c r="C2" s="14" t="str">
        <x:v>Potomac Steel Supply</x:v>
      </x:c>
      <x:c r="D2" s="14" t="str">
        <x:v>V-001</x:v>
      </x:c>
      <x:c r="E2" s="14" t="str">
        <x:v>PSS-2601-001</x:v>
      </x:c>
      <x:c r="F2" s="27" t="n">
        <x:v>46027</x:v>
      </x:c>
      <x:c r="G2" s="14" t="str">
        <x:v>PO-2601-001</x:v>
      </x:c>
      <x:c r="H2" s="14" t="str">
        <x:v>Net 30</x:v>
      </x:c>
      <x:c r="I2" s="27" t="n">
        <x:v>46057</x:v>
      </x:c>
      <x:c r="J2" s="28" t="n">
        <x:v>5285</x:v>
      </x:c>
      <x:c r="K2" s="28" t="n">
        <x:v>270.3</x:v>
      </x:c>
      <x:c r="L2" s="28" t="n">
        <x:v>145</x:v>
      </x:c>
      <x:c r="M2" s="28" t="n">
        <x:v>5700.3</x:v>
      </x:c>
      <x:c r="N2" s="14" t="str"/>
      <x:c r="O2" s="14" t="str"/>
    </x:row>
    <x:row r="3">
      <x:c r="A3" s="14" t="n">
        <x:v>2</x:v>
      </x:c>
      <x:c r="B3" s="14" t="str">
        <x:v>SMI_AP_Invoice_002_Dominion_Aluminum_Fasteners_DAF-2601-014.pdf</x:v>
      </x:c>
      <x:c r="C3" s="14" t="str">
        <x:v>Dominion Aluminum &amp; Fasteners</x:v>
      </x:c>
      <x:c r="D3" s="14" t="str">
        <x:v>V-002</x:v>
      </x:c>
      <x:c r="E3" s="14" t="str">
        <x:v>DAF-2601-014</x:v>
      </x:c>
      <x:c r="F3" s="27" t="n">
        <x:v>46028</x:v>
      </x:c>
      <x:c r="G3" s="14" t="str">
        <x:v>PO-2601-002</x:v>
      </x:c>
      <x:c r="H3" s="14" t="str">
        <x:v>Net 30</x:v>
      </x:c>
      <x:c r="I3" s="27" t="n">
        <x:v>46058</x:v>
      </x:c>
      <x:c r="J3" s="28" t="n">
        <x:v>3610</x:v>
      </x:c>
      <x:c r="K3" s="28" t="n">
        <x:v>191.33</x:v>
      </x:c>
      <x:c r="L3" s="28" t="n">
        <x:v>95</x:v>
      </x:c>
      <x:c r="M3" s="28" t="n">
        <x:v>3896.33</x:v>
      </x:c>
      <x:c r="N3" s="14" t="str"/>
      <x:c r="O3" s="14" t="str"/>
    </x:row>
    <x:row r="4">
      <x:c r="A4" s="14" t="n">
        <x:v>3</x:v>
      </x:c>
      <x:c r="B4" s="14" t="str">
        <x:v>SMI_AP_Invoice_003_Blue_Ridge_Industrial_Plastics_BRIP-2601-006.pdf</x:v>
      </x:c>
      <x:c r="C4" s="14" t="str">
        <x:v>Blue Ridge Industrial Plastics</x:v>
      </x:c>
      <x:c r="D4" s="14" t="str">
        <x:v>V-003</x:v>
      </x:c>
      <x:c r="E4" s="14" t="str">
        <x:v>BRIP-2601-006</x:v>
      </x:c>
      <x:c r="F4" s="27" t="n">
        <x:v>46029</x:v>
      </x:c>
      <x:c r="G4" s="14" t="str">
        <x:v>PO-2601-003</x:v>
      </x:c>
      <x:c r="H4" s="14" t="str">
        <x:v>Net 30</x:v>
      </x:c>
      <x:c r="I4" s="27" t="n">
        <x:v>46059</x:v>
      </x:c>
      <x:c r="J4" s="28" t="n">
        <x:v>1501</x:v>
      </x:c>
      <x:c r="K4" s="28" t="n">
        <x:v>79.55</x:v>
      </x:c>
      <x:c r="L4" s="28" t="n">
        <x:v>65</x:v>
      </x:c>
      <x:c r="M4" s="28" t="n">
        <x:v>1645.55</x:v>
      </x:c>
      <x:c r="N4" s="14" t="str"/>
      <x:c r="O4" s="14" t="str"/>
    </x:row>
    <x:row r="5">
      <x:c r="A5" s="14" t="n">
        <x:v>4</x:v>
      </x:c>
      <x:c r="B5" s="14" t="str">
        <x:v>SMI_AP_Invoice_004_Commonwealth_Powder_Coating_CPC-2601-002.pdf</x:v>
      </x:c>
      <x:c r="C5" s="14" t="str">
        <x:v>Commonwealth Powder Coating</x:v>
      </x:c>
      <x:c r="D5" s="14" t="str">
        <x:v>V-004</x:v>
      </x:c>
      <x:c r="E5" s="14" t="str">
        <x:v>CPC-2601-002</x:v>
      </x:c>
      <x:c r="F5" s="27" t="n">
        <x:v>46030</x:v>
      </x:c>
      <x:c r="G5" s="14" t="str">
        <x:v>PO-2601-004</x:v>
      </x:c>
      <x:c r="H5" s="14" t="str">
        <x:v>Net 15</x:v>
      </x:c>
      <x:c r="I5" s="27" t="n">
        <x:v>46045</x:v>
      </x:c>
      <x:c r="J5" s="28" t="n">
        <x:v>1385</x:v>
      </x:c>
      <x:c r="K5" s="28" t="n">
        <x:v>0</x:v>
      </x:c>
      <x:c r="L5" s="28" t="n">
        <x:v>0</x:v>
      </x:c>
      <x:c r="M5" s="28" t="n">
        <x:v>1385</x:v>
      </x:c>
      <x:c r="N5" s="14" t="str"/>
      <x:c r="O5" s="14" t="str"/>
    </x:row>
    <x:row r="6">
      <x:c r="A6" s="14" t="n">
        <x:v>5</x:v>
      </x:c>
      <x:c r="B6" s="14" t="str">
        <x:v>SMI_AP_Invoice_005_NOVA_Packaging_Crating_NPC-2601-011.pdf</x:v>
      </x:c>
      <x:c r="C6" s="14" t="str">
        <x:v>NOVA Packaging &amp; Crating</x:v>
      </x:c>
      <x:c r="D6" s="14" t="str">
        <x:v>V-005</x:v>
      </x:c>
      <x:c r="E6" s="14" t="str">
        <x:v>NPC-2601-011</x:v>
      </x:c>
      <x:c r="F6" s="27" t="n">
        <x:v>46030</x:v>
      </x:c>
      <x:c r="G6" s="14" t="str">
        <x:v>Not provided</x:v>
      </x:c>
      <x:c r="H6" s="14" t="str">
        <x:v>Net 30</x:v>
      </x:c>
      <x:c r="I6" s="27" t="n">
        <x:v>46060</x:v>
      </x:c>
      <x:c r="J6" s="28" t="n">
        <x:v>1102.5</x:v>
      </x:c>
      <x:c r="K6" s="28" t="n">
        <x:v>58.43</x:v>
      </x:c>
      <x:c r="L6" s="28" t="n">
        <x:v>55</x:v>
      </x:c>
      <x:c r="M6" s="28" t="n">
        <x:v>1215.93</x:v>
      </x:c>
      <x:c r="N6" s="14" t="str"/>
      <x:c r="O6" s="14" t="str"/>
    </x:row>
    <x:row r="7">
      <x:c r="A7" s="14" t="n">
        <x:v>6</x:v>
      </x:c>
      <x:c r="B7" s="14" t="str">
        <x:v>SMI_AP_Invoice_006_Arlington_Machine_Parts_AMP-2601-007.pdf</x:v>
      </x:c>
      <x:c r="C7" s="14" t="str">
        <x:v>Arlington Machine Parts</x:v>
      </x:c>
      <x:c r="D7" s="14" t="str">
        <x:v>V-006</x:v>
      </x:c>
      <x:c r="E7" s="14" t="str">
        <x:v>AMP-2601-007</x:v>
      </x:c>
      <x:c r="F7" s="27" t="n">
        <x:v>46031</x:v>
      </x:c>
      <x:c r="G7" s="14" t="str">
        <x:v>PO-2601-005</x:v>
      </x:c>
      <x:c r="H7" s="14" t="str">
        <x:v>Net 30</x:v>
      </x:c>
      <x:c r="I7" s="27" t="n">
        <x:v>46061</x:v>
      </x:c>
      <x:c r="J7" s="28" t="n">
        <x:v>1072</x:v>
      </x:c>
      <x:c r="K7" s="28" t="n">
        <x:v>56.82</x:v>
      </x:c>
      <x:c r="L7" s="28" t="n">
        <x:v>0</x:v>
      </x:c>
      <x:c r="M7" s="28" t="n">
        <x:v>1128.82</x:v>
      </x:c>
      <x:c r="N7" s="14" t="str"/>
      <x:c r="O7" s="14" t="str"/>
    </x:row>
    <x:row r="8">
      <x:c r="A8" s="14" t="n">
        <x:v>7</x:v>
      </x:c>
      <x:c r="B8" s="14" t="str">
        <x:v>SMI_AP_Invoice_007_Capital_Safety_Gear_CSG-2601-003.pdf</x:v>
      </x:c>
      <x:c r="C8" s="14" t="str">
        <x:v>Capital Safety Gear</x:v>
      </x:c>
      <x:c r="D8" s="14" t="str">
        <x:v>V-007</x:v>
      </x:c>
      <x:c r="E8" s="14" t="str">
        <x:v>CSG-2601-003</x:v>
      </x:c>
      <x:c r="F8" s="27" t="n">
        <x:v>46031</x:v>
      </x:c>
      <x:c r="G8" s="14" t="str">
        <x:v>Not provided</x:v>
      </x:c>
      <x:c r="H8" s="14" t="str">
        <x:v>Net 15</x:v>
      </x:c>
      <x:c r="I8" s="27" t="n">
        <x:v>46046</x:v>
      </x:c>
      <x:c r="J8" s="28" t="n">
        <x:v>811</x:v>
      </x:c>
      <x:c r="K8" s="28" t="n">
        <x:v>42.98</x:v>
      </x:c>
      <x:c r="L8" s="28" t="n">
        <x:v>22</x:v>
      </x:c>
      <x:c r="M8" s="28" t="n">
        <x:v>875.98</x:v>
      </x:c>
      <x:c r="N8" s="14" t="str"/>
      <x:c r="O8" s="14" t="str"/>
    </x:row>
    <x:row r="9">
      <x:c r="A9" s="14" t="n">
        <x:v>8</x:v>
      </x:c>
      <x:c r="B9" s="14" t="str">
        <x:v>SMI_AP_Invoice_008_Valley_Freight_Lines_VFL-2601-009.pdf</x:v>
      </x:c>
      <x:c r="C9" s="14" t="str">
        <x:v>Valley Freight Lines</x:v>
      </x:c>
      <x:c r="D9" s="14" t="str">
        <x:v>V-008</x:v>
      </x:c>
      <x:c r="E9" s="14" t="str">
        <x:v>VFL-2601-009</x:v>
      </x:c>
      <x:c r="F9" s="27" t="n">
        <x:v>46032</x:v>
      </x:c>
      <x:c r="G9" s="14" t="str">
        <x:v>Not provided</x:v>
      </x:c>
      <x:c r="H9" s="14" t="str">
        <x:v>Net 15</x:v>
      </x:c>
      <x:c r="I9" s="27" t="n">
        <x:v>46047</x:v>
      </x:c>
      <x:c r="J9" s="28" t="n">
        <x:v>640</x:v>
      </x:c>
      <x:c r="K9" s="28" t="n">
        <x:v>0</x:v>
      </x:c>
      <x:c r="L9" s="28" t="n">
        <x:v>0</x:v>
      </x:c>
      <x:c r="M9" s="28" t="n">
        <x:v>640</x:v>
      </x:c>
      <x:c r="N9" s="14" t="str"/>
      <x:c r="O9" s="14" t="str"/>
    </x:row>
    <x:row r="10">
      <x:c r="A10" s="14" t="n">
        <x:v>9</x:v>
      </x:c>
      <x:c r="B10" s="14" t="str">
        <x:v>SMI_AP_Invoice_009_MidAtlantic_Tool_Rental_MTR-2601-001.pdf</x:v>
      </x:c>
      <x:c r="C10" s="14" t="str">
        <x:v>MidAtlantic Tool Rental</x:v>
      </x:c>
      <x:c r="D10" s="14" t="str">
        <x:v>V-009</x:v>
      </x:c>
      <x:c r="E10" s="14" t="str">
        <x:v>MTR-2601-001</x:v>
      </x:c>
      <x:c r="F10" s="27" t="n">
        <x:v>46032</x:v>
      </x:c>
      <x:c r="G10" s="14" t="str">
        <x:v>PO-2601-006</x:v>
      </x:c>
      <x:c r="H10" s="14" t="str">
        <x:v>Net 30</x:v>
      </x:c>
      <x:c r="I10" s="27" t="n">
        <x:v>46062</x:v>
      </x:c>
      <x:c r="J10" s="28" t="n">
        <x:v>1345</x:v>
      </x:c>
      <x:c r="K10" s="28" t="n">
        <x:v>66.25</x:v>
      </x:c>
      <x:c r="L10" s="28" t="n">
        <x:v>0</x:v>
      </x:c>
      <x:c r="M10" s="28" t="n">
        <x:v>1411.25</x:v>
      </x:c>
      <x:c r="N10" s="14" t="str"/>
      <x:c r="O10" s="14" t="str"/>
    </x:row>
    <x:row r="11">
      <x:c r="A11" s="14" t="n">
        <x:v>10</x:v>
      </x:c>
      <x:c r="B11" s="14" t="str">
        <x:v>SMI_AP_Invoice_010_Fairfax_Industrial_Park_LLC_FIP-2026-01.pdf</x:v>
      </x:c>
      <x:c r="C11" s="14" t="str">
        <x:v>Fairfax Industrial Park LLC</x:v>
      </x:c>
      <x:c r="D11" s="14" t="str">
        <x:v>V-010</x:v>
      </x:c>
      <x:c r="E11" s="14" t="str">
        <x:v>FIP-2026-01</x:v>
      </x:c>
      <x:c r="F11" s="27" t="n">
        <x:v>46023</x:v>
      </x:c>
      <x:c r="G11" s="14" t="str">
        <x:v>Not provided</x:v>
      </x:c>
      <x:c r="H11" s="14" t="str">
        <x:v>Due 1st</x:v>
      </x:c>
      <x:c r="I11" s="27" t="n">
        <x:v>46023</x:v>
      </x:c>
      <x:c r="J11" s="28" t="n">
        <x:v>12000</x:v>
      </x:c>
      <x:c r="K11" s="28" t="n">
        <x:v>0</x:v>
      </x:c>
      <x:c r="L11" s="28" t="n">
        <x:v>0</x:v>
      </x:c>
      <x:c r="M11" s="28" t="n">
        <x:v>12000</x:v>
      </x:c>
      <x:c r="N11" s="14" t="str"/>
      <x:c r="O11" s="14" t="str"/>
    </x:row>
    <x:row r="12">
      <x:c r="A12" s="14" t="n">
        <x:v>11</x:v>
      </x:c>
      <x:c r="B12" s="14" t="str">
        <x:v>SMI_AP_Invoice_011_Virginia_Power_Light_VPL-013126.pdf</x:v>
      </x:c>
      <x:c r="C12" s="14" t="str">
        <x:v>Virginia Power &amp; Light</x:v>
      </x:c>
      <x:c r="D12" s="14" t="str">
        <x:v>V-011</x:v>
      </x:c>
      <x:c r="E12" s="14" t="str">
        <x:v>VPL-013126</x:v>
      </x:c>
      <x:c r="F12" s="27" t="n">
        <x:v>46043</x:v>
      </x:c>
      <x:c r="G12" s="14" t="str">
        <x:v>Not provided</x:v>
      </x:c>
      <x:c r="H12" s="14" t="str">
        <x:v>Due 20th</x:v>
      </x:c>
      <x:c r="I12" s="27" t="n">
        <x:v>46043</x:v>
      </x:c>
      <x:c r="J12" s="28" t="n">
        <x:v>3184.76</x:v>
      </x:c>
      <x:c r="K12" s="28" t="n">
        <x:v>0</x:v>
      </x:c>
      <x:c r="L12" s="28" t="n">
        <x:v>0</x:v>
      </x:c>
      <x:c r="M12" s="28" t="n">
        <x:v>3184.76</x:v>
      </x:c>
      <x:c r="N12" s="14" t="str"/>
      <x:c r="O12" s="14" t="str"/>
    </x:row>
    <x:row r="13">
      <x:c r="A13" s="14" t="n">
        <x:v>12</x:v>
      </x:c>
      <x:c r="B13" s="14" t="str">
        <x:v>SMI_AP_Invoice_012_Atlantic_Business_Insurance_ABI-2601.pdf</x:v>
      </x:c>
      <x:c r="C13" s="14" t="str">
        <x:v>Atlantic Business Insurance</x:v>
      </x:c>
      <x:c r="D13" s="14" t="str">
        <x:v>V-012</x:v>
      </x:c>
      <x:c r="E13" s="14" t="str">
        <x:v>ABI-2601</x:v>
      </x:c>
      <x:c r="F13" s="27" t="n">
        <x:v>46027</x:v>
      </x:c>
      <x:c r="G13" s="14" t="str">
        <x:v>Not provided</x:v>
      </x:c>
      <x:c r="H13" s="14" t="str">
        <x:v>Auto-pay monthly</x:v>
      </x:c>
      <x:c r="I13" s="27" t="n">
        <x:v>46027</x:v>
      </x:c>
      <x:c r="J13" s="28" t="n">
        <x:v>1850</x:v>
      </x:c>
      <x:c r="K13" s="28" t="n">
        <x:v>0</x:v>
      </x:c>
      <x:c r="L13" s="28" t="n">
        <x:v>0</x:v>
      </x:c>
      <x:c r="M13" s="28" t="n">
        <x:v>1850</x:v>
      </x:c>
      <x:c r="N13" s="14" t="str"/>
      <x:c r="O13" s="14" t="str"/>
    </x:row>
    <x:row r="14">
      <x:c r="A14" s="14" t="n">
        <x:v>13</x:v>
      </x:c>
      <x:c r="B14" s="14" t="str">
        <x:v>SMI_AP_Invoice_013_QuickBooks_Intuit_INT-2601-010.pdf</x:v>
      </x:c>
      <x:c r="C14" s="14" t="str">
        <x:v>QuickBooks / Intuit</x:v>
      </x:c>
      <x:c r="D14" s="14" t="str">
        <x:v>V-013</x:v>
      </x:c>
      <x:c r="E14" s="14" t="str">
        <x:v>INT-2601-010</x:v>
      </x:c>
      <x:c r="F14" s="27" t="n">
        <x:v>46032</x:v>
      </x:c>
      <x:c r="G14" s="14" t="str">
        <x:v>Not provided</x:v>
      </x:c>
      <x:c r="H14" s="14" t="str">
        <x:v>Auto-pay monthly</x:v>
      </x:c>
      <x:c r="I14" s="27" t="n">
        <x:v>46032</x:v>
      </x:c>
      <x:c r="J14" s="28" t="n">
        <x:v>200</x:v>
      </x:c>
      <x:c r="K14" s="28" t="n">
        <x:v>0</x:v>
      </x:c>
      <x:c r="L14" s="28" t="n">
        <x:v>0</x:v>
      </x:c>
      <x:c r="M14" s="28" t="n">
        <x:v>200</x:v>
      </x:c>
      <x:c r="N14" s="14" t="str"/>
      <x:c r="O14" s="14" t="str"/>
    </x:row>
    <x:row r="15">
      <x:c r="A15" s="14" t="n">
        <x:v>14</x:v>
      </x:c>
      <x:c r="B15" s="14" t="str">
        <x:v>SMI_AP_Invoice_014_Microsoft_365_Business_MS365-2601.pdf</x:v>
      </x:c>
      <x:c r="C15" s="14" t="str">
        <x:v>Microsoft 365 Business</x:v>
      </x:c>
      <x:c r="D15" s="14" t="str">
        <x:v>V-014</x:v>
      </x:c>
      <x:c r="E15" s="14" t="str">
        <x:v>MS365-2601</x:v>
      </x:c>
      <x:c r="F15" s="27" t="n">
        <x:v>46034</x:v>
      </x:c>
      <x:c r="G15" s="14" t="str">
        <x:v>Not provided</x:v>
      </x:c>
      <x:c r="H15" s="14" t="str">
        <x:v>Auto-pay monthly</x:v>
      </x:c>
      <x:c r="I15" s="27" t="n">
        <x:v>46034</x:v>
      </x:c>
      <x:c r="J15" s="28" t="n">
        <x:v>420</x:v>
      </x:c>
      <x:c r="K15" s="28" t="n">
        <x:v>0</x:v>
      </x:c>
      <x:c r="L15" s="28" t="n">
        <x:v>0</x:v>
      </x:c>
      <x:c r="M15" s="28" t="n">
        <x:v>420</x:v>
      </x:c>
      <x:c r="N15" s="14" t="str"/>
      <x:c r="O15" s="14" t="str"/>
    </x:row>
    <x:row r="16">
      <x:c r="A16" s="14" t="n">
        <x:v>15</x:v>
      </x:c>
      <x:c r="B16" s="14" t="str">
        <x:v>SMI_AP_Invoice_015_ADP_Small_Business_Payroll_ADP-2601-01.pdf</x:v>
      </x:c>
      <x:c r="C16" s="14" t="str">
        <x:v>ADP Small Business Payroll</x:v>
      </x:c>
      <x:c r="D16" s="14" t="str">
        <x:v>V-015</x:v>
      </x:c>
      <x:c r="E16" s="14" t="str">
        <x:v>ADP-2601-01</x:v>
      </x:c>
      <x:c r="F16" s="27" t="n">
        <x:v>46037</x:v>
      </x:c>
      <x:c r="G16" s="14" t="str">
        <x:v>Not provided</x:v>
      </x:c>
      <x:c r="H16" s="14" t="str">
        <x:v>ACH monthly</x:v>
      </x:c>
      <x:c r="I16" s="27" t="n">
        <x:v>46067</x:v>
      </x:c>
      <x:c r="J16" s="28" t="n">
        <x:v>440</x:v>
      </x:c>
      <x:c r="K16" s="28" t="n">
        <x:v>0</x:v>
      </x:c>
      <x:c r="L16" s="28" t="n">
        <x:v>0</x:v>
      </x:c>
      <x:c r="M16" s="28" t="n">
        <x:v>440</x:v>
      </x:c>
      <x:c r="N16" s="14" t="str"/>
      <x:c r="O16" s="14" t="str"/>
    </x:row>
    <x:row r="17">
      <x:c r="A17" s="14" t="n">
        <x:v>16</x:v>
      </x:c>
      <x:c r="B17" s="14" t="str">
        <x:v>SMI_AP_Invoice_016_TechShield_IT_Support_TIS-2601-03.pdf</x:v>
      </x:c>
      <x:c r="C17" s="14" t="str">
        <x:v>TechShield IT Support</x:v>
      </x:c>
      <x:c r="D17" s="14" t="str">
        <x:v>V-016</x:v>
      </x:c>
      <x:c r="E17" s="14" t="str">
        <x:v>TIS-2601-03</x:v>
      </x:c>
      <x:c r="F17" s="27" t="n">
        <x:v>46037</x:v>
      </x:c>
      <x:c r="G17" s="14" t="str">
        <x:v>Not provided</x:v>
      </x:c>
      <x:c r="H17" s="14" t="str">
        <x:v>Net 30</x:v>
      </x:c>
      <x:c r="I17" s="27" t="n">
        <x:v>46067</x:v>
      </x:c>
      <x:c r="J17" s="28" t="n">
        <x:v>1380</x:v>
      </x:c>
      <x:c r="K17" s="28" t="n">
        <x:v>0</x:v>
      </x:c>
      <x:c r="L17" s="28" t="n">
        <x:v>0</x:v>
      </x:c>
      <x:c r="M17" s="28" t="n">
        <x:v>1380</x:v>
      </x:c>
      <x:c r="N17" s="14" t="str"/>
      <x:c r="O17" s="14" t="str"/>
    </x:row>
    <x:row r="18">
      <x:c r="A18" s="14" t="n">
        <x:v>17</x:v>
      </x:c>
      <x:c r="B18" s="14" t="str">
        <x:v>SMI_AP_Invoice_017_CleanWorks_Janitorial_CWJ-2601-04.pdf</x:v>
      </x:c>
      <x:c r="C18" s="14" t="str">
        <x:v>CleanWorks Janitorial</x:v>
      </x:c>
      <x:c r="D18" s="14" t="str">
        <x:v>V-017</x:v>
      </x:c>
      <x:c r="E18" s="14" t="str">
        <x:v>CWJ-2601-04</x:v>
      </x:c>
      <x:c r="F18" s="27" t="n">
        <x:v>46047</x:v>
      </x:c>
      <x:c r="G18" s="14" t="str">
        <x:v>Not provided</x:v>
      </x:c>
      <x:c r="H18" s="14" t="str">
        <x:v>Net 15</x:v>
      </x:c>
      <x:c r="I18" s="27" t="n">
        <x:v>46062</x:v>
      </x:c>
      <x:c r="J18" s="28" t="n">
        <x:v>850</x:v>
      </x:c>
      <x:c r="K18" s="28" t="n">
        <x:v>0</x:v>
      </x:c>
      <x:c r="L18" s="28" t="n">
        <x:v>0</x:v>
      </x:c>
      <x:c r="M18" s="28" t="n">
        <x:v>850</x:v>
      </x:c>
      <x:c r="N18" s="14" t="str"/>
      <x:c r="O18" s="14" t="str"/>
    </x:row>
    <x:row r="19">
      <x:c r="A19" s="14" t="n">
        <x:v>18</x:v>
      </x:c>
      <x:c r="B19" s="14" t="str">
        <x:v>SMI_AP_Invoice_018_James_Co._CPA_Services_JCO-2601-01.pdf</x:v>
      </x:c>
      <x:c r="C19" s="14" t="str">
        <x:v>James &amp; Co. CPA Services</x:v>
      </x:c>
      <x:c r="D19" s="14" t="str">
        <x:v>V-018</x:v>
      </x:c>
      <x:c r="E19" s="14" t="str">
        <x:v>JCO-2601-01</x:v>
      </x:c>
      <x:c r="F19" s="27" t="n">
        <x:v>46048</x:v>
      </x:c>
      <x:c r="G19" s="14" t="str">
        <x:v>Not provided</x:v>
      </x:c>
      <x:c r="H19" s="14" t="str">
        <x:v>Net 30</x:v>
      </x:c>
      <x:c r="I19" s="27" t="n">
        <x:v>46078</x:v>
      </x:c>
      <x:c r="J19" s="28" t="n">
        <x:v>2400</x:v>
      </x:c>
      <x:c r="K19" s="28" t="n">
        <x:v>0</x:v>
      </x:c>
      <x:c r="L19" s="28" t="n">
        <x:v>0</x:v>
      </x:c>
      <x:c r="M19" s="28" t="n">
        <x:v>2400</x:v>
      </x:c>
      <x:c r="N19" s="14" t="str"/>
      <x:c r="O19" s="14" t="str"/>
    </x:row>
    <x:row r="20">
      <x:c r="A20" s="14" t="n">
        <x:v>19</x:v>
      </x:c>
      <x:c r="B20" s="14" t="str">
        <x:v>SMI_AP_Invoice_019_Kirkland_Legal_Compliance_KLC-2601-02.pdf</x:v>
      </x:c>
      <x:c r="C20" s="14" t="str">
        <x:v>Kirkland Legal &amp; Compliance</x:v>
      </x:c>
      <x:c r="D20" s="14" t="str">
        <x:v>V-019</x:v>
      </x:c>
      <x:c r="E20" s="14" t="str">
        <x:v>KLC-2601-02</x:v>
      </x:c>
      <x:c r="F20" s="27" t="n">
        <x:v>46049</x:v>
      </x:c>
      <x:c r="G20" s="14" t="str">
        <x:v>Not provided</x:v>
      </x:c>
      <x:c r="H20" s="14" t="str">
        <x:v>Net 30</x:v>
      </x:c>
      <x:c r="I20" s="27" t="n">
        <x:v>46079</x:v>
      </x:c>
      <x:c r="J20" s="28" t="n">
        <x:v>1750</x:v>
      </x:c>
      <x:c r="K20" s="28" t="n">
        <x:v>0</x:v>
      </x:c>
      <x:c r="L20" s="28" t="n">
        <x:v>0</x:v>
      </x:c>
      <x:c r="M20" s="28" t="n">
        <x:v>1750</x:v>
      </x:c>
      <x:c r="N20" s="14" t="str"/>
      <x:c r="O20" s="14" t="str"/>
    </x:row>
    <x:row r="21">
      <x:c r="A21" s="14" t="n">
        <x:v>20</x:v>
      </x:c>
      <x:c r="B21" s="14" t="str">
        <x:v>SMI_AP_Invoice_020_OfficePro_Supplies_OPS-2601-16.pdf</x:v>
      </x:c>
      <x:c r="C21" s="14" t="str">
        <x:v>OfficePro Supplies</x:v>
      </x:c>
      <x:c r="D21" s="14" t="str">
        <x:v>V-020</x:v>
      </x:c>
      <x:c r="E21" s="14" t="str">
        <x:v>OPS-2601-16</x:v>
      </x:c>
      <x:c r="F21" s="27" t="n">
        <x:v>46050</x:v>
      </x:c>
      <x:c r="G21" s="14" t="str">
        <x:v>Not provided</x:v>
      </x:c>
      <x:c r="H21" s="14" t="str">
        <x:v>Net 30</x:v>
      </x:c>
      <x:c r="I21" s="27" t="n">
        <x:v>46080</x:v>
      </x:c>
      <x:c r="J21" s="28" t="n">
        <x:v>1059</x:v>
      </x:c>
      <x:c r="K21" s="28" t="n">
        <x:v>56.13</x:v>
      </x:c>
      <x:c r="L21" s="28" t="n">
        <x:v>18</x:v>
      </x:c>
      <x:c r="M21" s="28" t="n">
        <x:v>1133.13</x:v>
      </x:c>
      <x:c r="N21" s="14" t="str"/>
      <x:c r="O21" s="14" t="str"/>
    </x:row>
    <x:row r="22">
      <x:c r="A22" s="14" t="n">
        <x:v>21</x:v>
      </x:c>
      <x:c r="B22" s="14" t="str">
        <x:v>SMI_AP_Invoice_021_Potomac_Steel_Supply_PSS-2601-001.pdf</x:v>
      </x:c>
      <x:c r="C22" s="14" t="str">
        <x:v>Potomac Steel Supply</x:v>
      </x:c>
      <x:c r="D22" s="14" t="str">
        <x:v>V-001</x:v>
      </x:c>
      <x:c r="E22" s="14" t="str">
        <x:v>PSS-2601-001</x:v>
      </x:c>
      <x:c r="F22" s="27" t="n">
        <x:v>46051</x:v>
      </x:c>
      <x:c r="G22" s="14" t="str">
        <x:v>PO-2601-001</x:v>
      </x:c>
      <x:c r="H22" s="14" t="str">
        <x:v>Net 30</x:v>
      </x:c>
      <x:c r="I22" s="27" t="n">
        <x:v>46081</x:v>
      </x:c>
      <x:c r="J22" s="28" t="n">
        <x:v>5285</x:v>
      </x:c>
      <x:c r="K22" s="28" t="n">
        <x:v>270.3</x:v>
      </x:c>
      <x:c r="L22" s="28" t="n">
        <x:v>145</x:v>
      </x:c>
      <x:c r="M22" s="28" t="n">
        <x:v>5700.3</x:v>
      </x:c>
      <x:c r="N22" s="14" t="str"/>
      <x:c r="O22" s="14" t="str"/>
    </x:row>
    <x:row r="23">
      <x:c r="A23" s="14" t="n">
        <x:v>22</x:v>
      </x:c>
      <x:c r="B23" s="14" t="str">
        <x:v>SMI_AP_Invoice_022_Valley_Freight_Lines_VFL-2601-010.pdf</x:v>
      </x:c>
      <x:c r="C23" s="14" t="str">
        <x:v>Valley Freight Lines</x:v>
      </x:c>
      <x:c r="D23" s="14" t="str">
        <x:v>V-008</x:v>
      </x:c>
      <x:c r="E23" s="14" t="str">
        <x:v>VFL-2601-010</x:v>
      </x:c>
      <x:c r="F23" s="27" t="n">
        <x:v>46051</x:v>
      </x:c>
      <x:c r="G23" s="14" t="str">
        <x:v>Not provided</x:v>
      </x:c>
      <x:c r="H23" s="14" t="str">
        <x:v>Net 15</x:v>
      </x:c>
      <x:c r="I23" s="27" t="n">
        <x:v>46066</x:v>
      </x:c>
      <x:c r="J23" s="28" t="n">
        <x:v>382.4</x:v>
      </x:c>
      <x:c r="K23" s="28" t="n">
        <x:v>0</x:v>
      </x:c>
      <x:c r="L23" s="28" t="n">
        <x:v>0</x:v>
      </x:c>
      <x:c r="M23" s="28" t="n">
        <x:v>382.4</x:v>
      </x:c>
      <x:c r="N23" s="14" t="str"/>
      <x:c r="O23" s="14" t="str"/>
    </x:row>
    <x:row r="24">
      <x:c r="A24" s="14" t="n">
        <x:v>23</x:v>
      </x:c>
      <x:c r="B24" s="14" t="str">
        <x:v>SMI_AP_Invoice_023_NOVA_Packaging_Crating_NPC-2601-012.pdf</x:v>
      </x:c>
      <x:c r="C24" s="14" t="str">
        <x:v>NOVA Packaging &amp; Crating</x:v>
      </x:c>
      <x:c r="D24" s="14" t="str">
        <x:v>V-005</x:v>
      </x:c>
      <x:c r="E24" s="14" t="str">
        <x:v>NPC-2601-012</x:v>
      </x:c>
      <x:c r="F24" s="27" t="n">
        <x:v>46052</x:v>
      </x:c>
      <x:c r="G24" s="14" t="str">
        <x:v>PO-2601-007</x:v>
      </x:c>
      <x:c r="H24" s="14" t="str">
        <x:v>Net 30</x:v>
      </x:c>
      <x:c r="I24" s="27" t="n">
        <x:v>46082</x:v>
      </x:c>
      <x:c r="J24" s="28" t="n">
        <x:v>660</x:v>
      </x:c>
      <x:c r="K24" s="28" t="n">
        <x:v>34.98</x:v>
      </x:c>
      <x:c r="L24" s="28" t="n">
        <x:v>35</x:v>
      </x:c>
      <x:c r="M24" s="28" t="n">
        <x:v>729.98</x:v>
      </x:c>
      <x:c r="N24" s="14" t="str"/>
      <x:c r="O24" s="14" t="str"/>
    </x:row>
    <x:row r="25">
      <x:c r="A25" s="14" t="n">
        <x:v>24</x:v>
      </x:c>
      <x:c r="B25" s="14" t="str">
        <x:v>SMI_AP_Invoice_024_Blue_Ridge_Industrial_Plastics_BRIP-2601-007.pdf</x:v>
      </x:c>
      <x:c r="C25" s="14" t="str">
        <x:v>Blue Ridge Industrial Plastics</x:v>
      </x:c>
      <x:c r="D25" s="14" t="str">
        <x:v>V-003</x:v>
      </x:c>
      <x:c r="E25" s="14" t="str">
        <x:v>BRIP-2601-007</x:v>
      </x:c>
      <x:c r="F25" s="27" t="n">
        <x:v>46052</x:v>
      </x:c>
      <x:c r="G25" s="14" t="str">
        <x:v>PO-2601-008</x:v>
      </x:c>
      <x:c r="H25" s="14" t="str">
        <x:v>Net 30</x:v>
      </x:c>
      <x:c r="I25" s="27" t="n">
        <x:v>46082</x:v>
      </x:c>
      <x:c r="J25" s="28" t="n">
        <x:v>1430</x:v>
      </x:c>
      <x:c r="K25" s="28" t="n">
        <x:v>75.79</x:v>
      </x:c>
      <x:c r="L25" s="28" t="n">
        <x:v>74</x:v>
      </x:c>
      <x:c r="M25" s="28" t="n">
        <x:v>1579.79</x:v>
      </x:c>
      <x:c r="N25" s="14" t="str"/>
      <x:c r="O25" s="14" t="str"/>
    </x:row>
    <x:row r="26">
      <x:c r="A26" s="14" t="n">
        <x:v>25</x:v>
      </x:c>
      <x:c r="B26" s="14" t="str">
        <x:v>SMI_AP_Invoice_025_Dominion_Aluminum_Fasteners_DAF-2601-015.pdf</x:v>
      </x:c>
      <x:c r="C26" s="14" t="str">
        <x:v>Dominion Aluminum &amp; Fasteners</x:v>
      </x:c>
      <x:c r="D26" s="14" t="str">
        <x:v>V-002</x:v>
      </x:c>
      <x:c r="E26" s="14" t="str">
        <x:v>DAF-2601-015</x:v>
      </x:c>
      <x:c r="F26" s="27" t="n">
        <x:v>46053</x:v>
      </x:c>
      <x:c r="G26" s="14" t="str">
        <x:v>PO-2601-009</x:v>
      </x:c>
      <x:c r="H26" s="14" t="str">
        <x:v>Net 30</x:v>
      </x:c>
      <x:c r="I26" s="27" t="n">
        <x:v>46083</x:v>
      </x:c>
      <x:c r="J26" s="28" t="n">
        <x:v>2390</x:v>
      </x:c>
      <x:c r="K26" s="28" t="n">
        <x:v>126.67</x:v>
      </x:c>
      <x:c r="L26" s="28" t="n">
        <x:v>88</x:v>
      </x:c>
      <x:c r="M26" s="28" t="n">
        <x:v>2604.67</x:v>
      </x:c>
      <x:c r="N26" s="14" t="str"/>
      <x:c r="O26" s="14" t="str"/>
    </x:row>
    <x:row r="27">
      <x:c r="A27" s="14" t="n">
        <x:v>26</x:v>
      </x:c>
      <x:c r="B27" s="14" t="str">
        <x:v>SMI_AP_Invoice_026_Potomac_Steel_Supply_PSS-2601-003.pdf</x:v>
      </x:c>
      <x:c r="C27" s="14" t="str">
        <x:v>Potomac Steel Supply</x:v>
      </x:c>
      <x:c r="D27" s="14" t="str">
        <x:v>V-001</x:v>
      </x:c>
      <x:c r="E27" s="14" t="str">
        <x:v>PSS-2601-003</x:v>
      </x:c>
      <x:c r="F27" s="27" t="n">
        <x:v>46053</x:v>
      </x:c>
      <x:c r="G27" s="14" t="str">
        <x:v>Not provided</x:v>
      </x:c>
      <x:c r="H27" s="14" t="str">
        <x:v>Net 30</x:v>
      </x:c>
      <x:c r="I27" s="27" t="n">
        <x:v>46083</x:v>
      </x:c>
      <x:c r="J27" s="28" t="n">
        <x:v>3080</x:v>
      </x:c>
      <x:c r="K27" s="28" t="n">
        <x:v>163.24</x:v>
      </x:c>
      <x:c r="L27" s="28" t="n">
        <x:v>110</x:v>
      </x:c>
      <x:c r="M27" s="28" t="n">
        <x:v>3353.24</x:v>
      </x:c>
      <x:c r="N27" s="14" t="str"/>
      <x:c r="O27" s="14" t="str"/>
    </x:row>
    <x:row r="28">
      <x:c r="A28" s="14" t="n">
        <x:v>27</x:v>
      </x:c>
      <x:c r="B28" s="14" t="str">
        <x:v>SMI_AP_Invoice_027_Arlington_Machine_Parts_AMP-2601-007.pdf</x:v>
      </x:c>
      <x:c r="C28" s="14" t="str">
        <x:v>Arlington Machine Parts</x:v>
      </x:c>
      <x:c r="D28" s="14" t="str">
        <x:v>V-006</x:v>
      </x:c>
      <x:c r="E28" s="14" t="str">
        <x:v>AMP-2601-007</x:v>
      </x:c>
      <x:c r="F28" s="27" t="n">
        <x:v>46053</x:v>
      </x:c>
      <x:c r="G28" s="14" t="str">
        <x:v>PO-2601-005</x:v>
      </x:c>
      <x:c r="H28" s="14" t="str">
        <x:v>Net 30</x:v>
      </x:c>
      <x:c r="I28" s="27" t="n">
        <x:v>46083</x:v>
      </x:c>
      <x:c r="J28" s="28" t="n">
        <x:v>1072</x:v>
      </x:c>
      <x:c r="K28" s="28" t="n">
        <x:v>56.82</x:v>
      </x:c>
      <x:c r="L28" s="28" t="n">
        <x:v>0</x:v>
      </x:c>
      <x:c r="M28" s="28" t="n">
        <x:v>1128.82</x:v>
      </x:c>
      <x:c r="N28" s="14" t="str"/>
      <x:c r="O28" s="14" t="str"/>
    </x:row>
    <x:row r="29">
      <x:c r="A29" s="14" t="n">
        <x:v>28</x:v>
      </x:c>
      <x:c r="B29" s="14" t="str">
        <x:v>SMI_AP_Invoice_028_SecureGate_Monitoring_SGM-2601.pdf</x:v>
      </x:c>
      <x:c r="C29" s="14" t="str">
        <x:v>SecureGate Monitoring</x:v>
      </x:c>
      <x:c r="D29" s="14" t="str">
        <x:v>V-021</x:v>
      </x:c>
      <x:c r="E29" s="14" t="str">
        <x:v>SGM-2601</x:v>
      </x:c>
      <x:c r="F29" s="27" t="n">
        <x:v>46030</x:v>
      </x:c>
      <x:c r="G29" s="14" t="str">
        <x:v>Not provided</x:v>
      </x:c>
      <x:c r="H29" s="14" t="str">
        <x:v>Auto-pay monthly</x:v>
      </x:c>
      <x:c r="I29" s="27" t="n">
        <x:v>46030</x:v>
      </x:c>
      <x:c r="J29" s="28" t="n">
        <x:v>180</x:v>
      </x:c>
      <x:c r="K29" s="28" t="n">
        <x:v>0</x:v>
      </x:c>
      <x:c r="L29" s="28" t="n">
        <x:v>0</x:v>
      </x:c>
      <x:c r="M29" s="28" t="n">
        <x:v>180</x:v>
      </x:c>
      <x:c r="N29" s="14" t="str"/>
      <x:c r="O29" s="14" t="str"/>
    </x:row>
    <x:row r="30">
      <x:c r="A30" s="14" t="n">
        <x:v>29</x:v>
      </x:c>
      <x:c r="B30" s="14" t="str">
        <x:v>SMI_AP_Invoice_029_NOVA_Industrial_Waste_NIW-2601-01.pdf</x:v>
      </x:c>
      <x:c r="C30" s="14" t="str">
        <x:v>NOVA Industrial Waste</x:v>
      </x:c>
      <x:c r="D30" s="14" t="str">
        <x:v>V-022</x:v>
      </x:c>
      <x:c r="E30" s="14" t="str">
        <x:v>NIW-2601-01</x:v>
      </x:c>
      <x:c r="F30" s="27" t="n">
        <x:v>46048</x:v>
      </x:c>
      <x:c r="G30" s="14" t="str">
        <x:v>Not provided</x:v>
      </x:c>
      <x:c r="H30" s="14" t="str">
        <x:v>Net 30</x:v>
      </x:c>
      <x:c r="I30" s="27" t="n">
        <x:v>46078</x:v>
      </x:c>
      <x:c r="J30" s="28" t="n">
        <x:v>650</x:v>
      </x:c>
      <x:c r="K30" s="28" t="n">
        <x:v>0</x:v>
      </x:c>
      <x:c r="L30" s="28" t="n">
        <x:v>0</x:v>
      </x:c>
      <x:c r="M30" s="28" t="n">
        <x:v>650</x:v>
      </x:c>
      <x:c r="N30" s="14" t="str"/>
      <x:c r="O30" s="14" t="str"/>
    </x:row>
    <x:row r="31">
      <x:c r="A31" s="14" t="n">
        <x:v>30</x:v>
      </x:c>
      <x:c r="B31" s="14" t="str">
        <x:v>SMI_AP_Invoice_030_Commonwealth_Powder_Coating_CPC-2601-003.pdf</x:v>
      </x:c>
      <x:c r="C31" s="14" t="str">
        <x:v>Commonwealth Powder Coating</x:v>
      </x:c>
      <x:c r="D31" s="14" t="str">
        <x:v>V-004</x:v>
      </x:c>
      <x:c r="E31" s="14" t="str">
        <x:v>CPC-2601-003</x:v>
      </x:c>
      <x:c r="F31" s="27" t="n">
        <x:v>46053</x:v>
      </x:c>
      <x:c r="G31" s="14" t="str">
        <x:v>PO-2601-010</x:v>
      </x:c>
      <x:c r="H31" s="14" t="str">
        <x:v>Net 15</x:v>
      </x:c>
      <x:c r="I31" s="27" t="n">
        <x:v>46068</x:v>
      </x:c>
      <x:c r="J31" s="28" t="n">
        <x:v>1716</x:v>
      </x:c>
      <x:c r="K31" s="28" t="n">
        <x:v>0</x:v>
      </x:c>
      <x:c r="L31" s="28" t="n">
        <x:v>0</x:v>
      </x:c>
      <x:c r="M31" s="28" t="n">
        <x:v>1716</x:v>
      </x:c>
      <x:c r="N31" s="14" t="str"/>
      <x:c r="O31" s="14" t="str"/>
    </x:row>
  </x:sheetData>
  <x:dataValidations count="1">
    <x:dataValidation type="list" sqref="N2:N31">
      <x:formula1>"Approve,Hold - Price Issue,Hold - Quantity Issue,Hold - Missing PO,Duplicate,Needs Manager Approval"</x:formula1>
    </x:dataValidation>
  </x:dataValidations>
  <x:pageMargins left="0.7" right="0.7" top="0.75" bottom="0.75" header="0.3" footer="0.3"/>
  <x:tableParts count="1">
    <x:tablePart xmlns:r="http://schemas.openxmlformats.org/officeDocument/2006/relationships" r:id="R47bc6196771840de"/>
  </x:tableParts>
</x:worksheet>
</file>

<file path=xl/worksheets/sheet3.xml><?xml version="1.0" encoding="utf-8"?>
<x:worksheet xmlns:x="http://schemas.openxmlformats.org/spreadsheetml/2006/main">
  <x:sheetFormatPr defaultRowHeight="15"/>
  <x:cols>
    <x:col min="1" max="1" width="5.880000114440918" hidden="0" customWidth="1"/>
    <x:col min="2" max="2" width="25.1299991607666" hidden="0" customWidth="1"/>
    <x:col min="3" max="3" width="11.75" hidden="0" customWidth="1"/>
    <x:col min="4" max="4" width="11.880000114440918" hidden="0" customWidth="1"/>
    <x:col min="5" max="5" width="38" hidden="0" customWidth="1"/>
    <x:col min="6" max="6" width="8.5" hidden="0" customWidth="1"/>
    <x:col min="7" max="7" width="13.130000114440918" hidden="0" customWidth="1"/>
    <x:col min="8" max="8" width="13" hidden="0" customWidth="1"/>
    <x:col min="9" max="9" width="11.630000114440918" hidden="0" customWidth="1"/>
    <x:col min="10" max="10" width="16.3799991607666" hidden="0" customWidth="1"/>
    <x:col min="11" max="11" width="23.25" hidden="0" customWidth="1"/>
    <x:col min="12" max="12" width="12.630000114440918" hidden="0" customWidth="1"/>
    <x:col min="13" max="13" width="9.630000114440918" hidden="0" customWidth="1"/>
    <x:col min="14" max="14" width="24" hidden="0" customWidth="1"/>
    <x:col min="15" max="15" width="24" hidden="0" customWidth="1"/>
  </x:cols>
  <x:sheetData>
    <x:row r="1">
      <x:c r="A1" s="26" t="str">
        <x:v>Seq</x:v>
      </x:c>
      <x:c r="B1" s="26" t="str">
        <x:v>Vendor</x:v>
      </x:c>
      <x:c r="C1" s="26" t="str">
        <x:v>Invoice No.</x:v>
      </x:c>
      <x:c r="D1" s="26" t="str">
        <x:v>PO Number</x:v>
      </x:c>
      <x:c r="E1" s="26" t="str">
        <x:v>PO / Reference Description</x:v>
      </x:c>
      <x:c r="F1" s="26" t="str">
        <x:v>PO Qty</x:v>
      </x:c>
      <x:c r="G1" s="26" t="str">
        <x:v>PO Unit Price</x:v>
      </x:c>
      <x:c r="H1" s="26" t="str">
        <x:v>Received Qty</x:v>
      </x:c>
      <x:c r="I1" s="26" t="str">
        <x:v>Invoice Qty</x:v>
      </x:c>
      <x:c r="J1" s="26" t="str">
        <x:v>Invoice Unit Price</x:v>
      </x:c>
      <x:c r="K1" s="26" t="str">
        <x:v>Expected PO/Receipt Total</x:v>
      </x:c>
      <x:c r="L1" s="26" t="str">
        <x:v>Invoice Total</x:v>
      </x:c>
      <x:c r="M1" s="26" t="str">
        <x:v>Variance</x:v>
      </x:c>
      <x:c r="N1" s="26" t="str">
        <x:v>Student Match Result</x:v>
      </x:c>
      <x:c r="O1" s="26" t="str">
        <x:v>Student Notes</x:v>
      </x:c>
    </x:row>
    <x:row r="2">
      <x:c r="A2" s="14" t="n">
        <x:v>1</x:v>
      </x:c>
      <x:c r="B2" s="14" t="str">
        <x:v>Potomac Steel Supply</x:v>
      </x:c>
      <x:c r="C2" s="14" t="str">
        <x:v>PSS-2601-001</x:v>
      </x:c>
      <x:c r="D2" s="14" t="str">
        <x:v>PO-2601-001</x:v>
      </x:c>
      <x:c r="E2" s="14" t="str">
        <x:v>Cold rolled steel sheets, 14 ga</x:v>
      </x:c>
      <x:c r="F2" s="14" t="n">
        <x:v>120</x:v>
      </x:c>
      <x:c r="G2" s="28" t="n">
        <x:v>42.5</x:v>
      </x:c>
      <x:c r="H2" s="14" t="n">
        <x:v>120</x:v>
      </x:c>
      <x:c r="I2" s="14" t="n">
        <x:v>120</x:v>
      </x:c>
      <x:c r="J2" s="14" t="n">
        <x:v>42.5</x:v>
      </x:c>
      <x:c r="K2" s="28" t="n">
        <x:v>5700.3</x:v>
      </x:c>
      <x:c r="L2" s="28" t="n">
        <x:v>5700.3</x:v>
      </x:c>
      <x:c r="M2" s="28" t="n">
        <x:f>IF(K2="","",L2-K2)</x:f>
        <x:v>0</x:v>
      </x:c>
      <x:c r="N2" s="14" t="str"/>
      <x:c r="O2" s="14" t="str"/>
    </x:row>
    <x:row r="3">
      <x:c r="A3" s="14" t="n">
        <x:v>2</x:v>
      </x:c>
      <x:c r="B3" s="14" t="str">
        <x:v>Dominion Aluminum &amp; Fasteners</x:v>
      </x:c>
      <x:c r="C3" s="14" t="str">
        <x:v>DAF-2601-014</x:v>
      </x:c>
      <x:c r="D3" s="14" t="str">
        <x:v>PO-2601-002</x:v>
      </x:c>
      <x:c r="E3" s="14" t="str">
        <x:v>Aluminum sheet, 0.080 inch</x:v>
      </x:c>
      <x:c r="F3" s="14" t="n">
        <x:v>80</x:v>
      </x:c>
      <x:c r="G3" s="28" t="n">
        <x:v>38</x:v>
      </x:c>
      <x:c r="H3" s="14" t="n">
        <x:v>80</x:v>
      </x:c>
      <x:c r="I3" s="14" t="n">
        <x:v>80</x:v>
      </x:c>
      <x:c r="J3" s="14" t="n">
        <x:v>39.5</x:v>
      </x:c>
      <x:c r="K3" s="28" t="n">
        <x:v>3769.97</x:v>
      </x:c>
      <x:c r="L3" s="28" t="n">
        <x:v>3896.33</x:v>
      </x:c>
      <x:c r="M3" s="28" t="n">
        <x:f>IF(K3="","",L3-K3)</x:f>
        <x:v>126.36000000000013</x:v>
      </x:c>
      <x:c r="N3" s="14" t="str"/>
      <x:c r="O3" s="14" t="str"/>
    </x:row>
    <x:row r="4">
      <x:c r="A4" s="14" t="n">
        <x:v>3</x:v>
      </x:c>
      <x:c r="B4" s="14" t="str">
        <x:v>Blue Ridge Industrial Plastics</x:v>
      </x:c>
      <x:c r="C4" s="14" t="str">
        <x:v>BRIP-2601-006</x:v>
      </x:c>
      <x:c r="D4" s="14" t="str">
        <x:v>PO-2601-003</x:v>
      </x:c>
      <x:c r="E4" s="14" t="str">
        <x:v>Black plastic edge guards</x:v>
      </x:c>
      <x:c r="F4" s="14" t="n">
        <x:v>500</x:v>
      </x:c>
      <x:c r="G4" s="28" t="n">
        <x:v>1.85</x:v>
      </x:c>
      <x:c r="H4" s="14" t="n">
        <x:v>450</x:v>
      </x:c>
      <x:c r="I4" s="14" t="n">
        <x:v>500</x:v>
      </x:c>
      <x:c r="J4" s="14" t="n">
        <x:v>1.85</x:v>
      </x:c>
      <x:c r="K4" s="28" t="n">
        <x:v>1548.15</x:v>
      </x:c>
      <x:c r="L4" s="28" t="n">
        <x:v>1645.55</x:v>
      </x:c>
      <x:c r="M4" s="28" t="n">
        <x:f>IF(K4="","",L4-K4)</x:f>
        <x:v>97.39999999999986</x:v>
      </x:c>
      <x:c r="N4" s="14" t="str"/>
      <x:c r="O4" s="14" t="str"/>
    </x:row>
    <x:row r="5">
      <x:c r="A5" s="14" t="n">
        <x:v>4</x:v>
      </x:c>
      <x:c r="B5" s="14" t="str">
        <x:v>Commonwealth Powder Coating</x:v>
      </x:c>
      <x:c r="C5" s="14" t="str">
        <x:v>CPC-2601-002</x:v>
      </x:c>
      <x:c r="D5" s="14" t="str">
        <x:v>PO-2601-004</x:v>
      </x:c>
      <x:c r="E5" s="14" t="str">
        <x:v>Powder coating - cabinet bracket batch JOB-2601-17</x:v>
      </x:c>
      <x:c r="F5" s="14" t="n">
        <x:v>275</x:v>
      </x:c>
      <x:c r="G5" s="28" t="n">
        <x:v>4.6</x:v>
      </x:c>
      <x:c r="H5" s="14" t="n">
        <x:v>275</x:v>
      </x:c>
      <x:c r="I5" s="14" t="n">
        <x:v>275</x:v>
      </x:c>
      <x:c r="J5" s="14" t="n">
        <x:v>4.6</x:v>
      </x:c>
      <x:c r="K5" s="28" t="n">
        <x:v>1385</x:v>
      </x:c>
      <x:c r="L5" s="28" t="n">
        <x:v>1385</x:v>
      </x:c>
      <x:c r="M5" s="28" t="n">
        <x:f>IF(K5="","",L5-K5)</x:f>
        <x:v>0</x:v>
      </x:c>
      <x:c r="N5" s="14" t="str"/>
      <x:c r="O5" s="14" t="str"/>
    </x:row>
    <x:row r="6">
      <x:c r="A6" s="14" t="n">
        <x:v>5</x:v>
      </x:c>
      <x:c r="B6" s="14" t="str">
        <x:v>NOVA Packaging &amp; Crating</x:v>
      </x:c>
      <x:c r="C6" s="14" t="str">
        <x:v>NPC-2601-011</x:v>
      </x:c>
      <x:c r="D6" s="14" t="str">
        <x:v>Not provided</x:v>
      </x:c>
      <x:c r="E6" s="14" t="str">
        <x:v>No PO provided on invoice</x:v>
      </x:c>
      <x:c r="F6" s="14" t="str"/>
      <x:c r="G6" s="28" t="str"/>
      <x:c r="H6" s="14" t="str"/>
      <x:c r="I6" s="14" t="str"/>
      <x:c r="J6" s="14" t="str"/>
      <x:c r="K6" s="28" t="str"/>
      <x:c r="L6" s="28" t="n">
        <x:v>1215.93</x:v>
      </x:c>
      <x:c r="M6" s="28" t="str">
        <x:f>IF(K6="","",L6-K6)</x:f>
      </x:c>
      <x:c r="N6" s="14" t="str"/>
      <x:c r="O6" s="14" t="str"/>
    </x:row>
    <x:row r="7">
      <x:c r="A7" s="14" t="n">
        <x:v>6</x:v>
      </x:c>
      <x:c r="B7" s="14" t="str">
        <x:v>Arlington Machine Parts</x:v>
      </x:c>
      <x:c r="C7" s="14" t="str">
        <x:v>AMP-2601-007</x:v>
      </x:c>
      <x:c r="D7" s="14" t="str">
        <x:v>PO-2601-005</x:v>
      </x:c>
      <x:c r="E7" s="14" t="str">
        <x:v>Replacement drill bits - carbide</x:v>
      </x:c>
      <x:c r="F7" s="14" t="n">
        <x:v>12</x:v>
      </x:c>
      <x:c r="G7" s="28" t="n">
        <x:v>48</x:v>
      </x:c>
      <x:c r="H7" s="14" t="n">
        <x:v>12</x:v>
      </x:c>
      <x:c r="I7" s="14" t="n">
        <x:v>12</x:v>
      </x:c>
      <x:c r="J7" s="14" t="n">
        <x:v>48</x:v>
      </x:c>
      <x:c r="K7" s="28" t="n">
        <x:v>1128.82</x:v>
      </x:c>
      <x:c r="L7" s="28" t="n">
        <x:v>1128.82</x:v>
      </x:c>
      <x:c r="M7" s="28" t="n">
        <x:f>IF(K7="","",L7-K7)</x:f>
        <x:v>0</x:v>
      </x:c>
      <x:c r="N7" s="14" t="str"/>
      <x:c r="O7" s="14" t="str"/>
    </x:row>
    <x:row r="8">
      <x:c r="A8" s="14" t="n">
        <x:v>7</x:v>
      </x:c>
      <x:c r="B8" s="14" t="str">
        <x:v>Capital Safety Gear</x:v>
      </x:c>
      <x:c r="C8" s="14" t="str">
        <x:v>CSG-2601-003</x:v>
      </x:c>
      <x:c r="D8" s="14" t="str">
        <x:v>Not provided</x:v>
      </x:c>
      <x:c r="E8" s="14" t="str">
        <x:v>No PO provided on invoice</x:v>
      </x:c>
      <x:c r="F8" s="14" t="str"/>
      <x:c r="G8" s="28" t="str"/>
      <x:c r="H8" s="14" t="str"/>
      <x:c r="I8" s="14" t="str"/>
      <x:c r="J8" s="14" t="str"/>
      <x:c r="K8" s="28" t="str"/>
      <x:c r="L8" s="28" t="n">
        <x:v>875.98</x:v>
      </x:c>
      <x:c r="M8" s="28" t="str">
        <x:f>IF(K8="","",L8-K8)</x:f>
      </x:c>
      <x:c r="N8" s="14" t="str"/>
      <x:c r="O8" s="14" t="str"/>
    </x:row>
    <x:row r="9">
      <x:c r="A9" s="14" t="n">
        <x:v>8</x:v>
      </x:c>
      <x:c r="B9" s="14" t="str">
        <x:v>Valley Freight Lines</x:v>
      </x:c>
      <x:c r="C9" s="14" t="str">
        <x:v>VFL-2601-009</x:v>
      </x:c>
      <x:c r="D9" s="14" t="str">
        <x:v>Not provided</x:v>
      </x:c>
      <x:c r="E9" s="14" t="str">
        <x:v>No PO provided on invoice</x:v>
      </x:c>
      <x:c r="F9" s="14" t="str"/>
      <x:c r="G9" s="28" t="str"/>
      <x:c r="H9" s="14" t="str"/>
      <x:c r="I9" s="14" t="str"/>
      <x:c r="J9" s="14" t="str"/>
      <x:c r="K9" s="28" t="str"/>
      <x:c r="L9" s="28" t="n">
        <x:v>640</x:v>
      </x:c>
      <x:c r="M9" s="28" t="str">
        <x:f>IF(K9="","",L9-K9)</x:f>
      </x:c>
      <x:c r="N9" s="14" t="str"/>
      <x:c r="O9" s="14" t="str"/>
    </x:row>
    <x:row r="10">
      <x:c r="A10" s="14" t="n">
        <x:v>9</x:v>
      </x:c>
      <x:c r="B10" s="14" t="str">
        <x:v>MidAtlantic Tool Rental</x:v>
      </x:c>
      <x:c r="C10" s="14" t="str">
        <x:v>MTR-2601-001</x:v>
      </x:c>
      <x:c r="D10" s="14" t="str">
        <x:v>PO-2601-006</x:v>
      </x:c>
      <x:c r="E10" s="14" t="str">
        <x:v>Scissor lift rental - 5 days</x:v>
      </x:c>
      <x:c r="F10" s="14" t="n">
        <x:v>5</x:v>
      </x:c>
      <x:c r="G10" s="28" t="n">
        <x:v>250</x:v>
      </x:c>
      <x:c r="H10" s="14" t="n">
        <x:v>5</x:v>
      </x:c>
      <x:c r="I10" s="14" t="n">
        <x:v>5</x:v>
      </x:c>
      <x:c r="J10" s="14" t="n">
        <x:v>250</x:v>
      </x:c>
      <x:c r="K10" s="28" t="n">
        <x:v>1411.25</x:v>
      </x:c>
      <x:c r="L10" s="28" t="n">
        <x:v>1411.25</x:v>
      </x:c>
      <x:c r="M10" s="28" t="n">
        <x:f>IF(K10="","",L10-K10)</x:f>
        <x:v>0</x:v>
      </x:c>
      <x:c r="N10" s="14" t="str"/>
      <x:c r="O10" s="14" t="str"/>
    </x:row>
    <x:row r="11">
      <x:c r="A11" s="14" t="n">
        <x:v>10</x:v>
      </x:c>
      <x:c r="B11" s="14" t="str">
        <x:v>Fairfax Industrial Park LLC</x:v>
      </x:c>
      <x:c r="C11" s="14" t="str">
        <x:v>FIP-2026-01</x:v>
      </x:c>
      <x:c r="D11" s="14" t="str">
        <x:v>Not provided</x:v>
      </x:c>
      <x:c r="E11" s="14" t="str">
        <x:v>No PO provided on invoice</x:v>
      </x:c>
      <x:c r="F11" s="14" t="str"/>
      <x:c r="G11" s="28" t="str"/>
      <x:c r="H11" s="14" t="str"/>
      <x:c r="I11" s="14" t="str"/>
      <x:c r="J11" s="14" t="str"/>
      <x:c r="K11" s="28" t="str"/>
      <x:c r="L11" s="28" t="n">
        <x:v>12000</x:v>
      </x:c>
      <x:c r="M11" s="28" t="str">
        <x:f>IF(K11="","",L11-K11)</x:f>
      </x:c>
      <x:c r="N11" s="14" t="str"/>
      <x:c r="O11" s="14" t="str"/>
    </x:row>
    <x:row r="12">
      <x:c r="A12" s="14" t="n">
        <x:v>11</x:v>
      </x:c>
      <x:c r="B12" s="14" t="str">
        <x:v>Virginia Power &amp; Light</x:v>
      </x:c>
      <x:c r="C12" s="14" t="str">
        <x:v>VPL-013126</x:v>
      </x:c>
      <x:c r="D12" s="14" t="str">
        <x:v>Not provided</x:v>
      </x:c>
      <x:c r="E12" s="14" t="str">
        <x:v>No PO provided on invoice</x:v>
      </x:c>
      <x:c r="F12" s="14" t="str"/>
      <x:c r="G12" s="28" t="str"/>
      <x:c r="H12" s="14" t="str"/>
      <x:c r="I12" s="14" t="str"/>
      <x:c r="J12" s="14" t="str"/>
      <x:c r="K12" s="28" t="str"/>
      <x:c r="L12" s="28" t="n">
        <x:v>3184.76</x:v>
      </x:c>
      <x:c r="M12" s="28" t="str">
        <x:f>IF(K12="","",L12-K12)</x:f>
      </x:c>
      <x:c r="N12" s="14" t="str"/>
      <x:c r="O12" s="14" t="str"/>
    </x:row>
    <x:row r="13">
      <x:c r="A13" s="14" t="n">
        <x:v>12</x:v>
      </x:c>
      <x:c r="B13" s="14" t="str">
        <x:v>Atlantic Business Insurance</x:v>
      </x:c>
      <x:c r="C13" s="14" t="str">
        <x:v>ABI-2601</x:v>
      </x:c>
      <x:c r="D13" s="14" t="str">
        <x:v>Not provided</x:v>
      </x:c>
      <x:c r="E13" s="14" t="str">
        <x:v>No PO provided on invoice</x:v>
      </x:c>
      <x:c r="F13" s="14" t="str"/>
      <x:c r="G13" s="28" t="str"/>
      <x:c r="H13" s="14" t="str"/>
      <x:c r="I13" s="14" t="str"/>
      <x:c r="J13" s="14" t="str"/>
      <x:c r="K13" s="28" t="str"/>
      <x:c r="L13" s="28" t="n">
        <x:v>1850</x:v>
      </x:c>
      <x:c r="M13" s="28" t="str">
        <x:f>IF(K13="","",L13-K13)</x:f>
      </x:c>
      <x:c r="N13" s="14" t="str"/>
      <x:c r="O13" s="14" t="str"/>
    </x:row>
    <x:row r="14">
      <x:c r="A14" s="14" t="n">
        <x:v>13</x:v>
      </x:c>
      <x:c r="B14" s="14" t="str">
        <x:v>QuickBooks / Intuit</x:v>
      </x:c>
      <x:c r="C14" s="14" t="str">
        <x:v>INT-2601-010</x:v>
      </x:c>
      <x:c r="D14" s="14" t="str">
        <x:v>Not provided</x:v>
      </x:c>
      <x:c r="E14" s="14" t="str">
        <x:v>No PO provided on invoice</x:v>
      </x:c>
      <x:c r="F14" s="14" t="str"/>
      <x:c r="G14" s="28" t="str"/>
      <x:c r="H14" s="14" t="str"/>
      <x:c r="I14" s="14" t="str"/>
      <x:c r="J14" s="14" t="str"/>
      <x:c r="K14" s="28" t="str"/>
      <x:c r="L14" s="28" t="n">
        <x:v>200</x:v>
      </x:c>
      <x:c r="M14" s="28" t="str">
        <x:f>IF(K14="","",L14-K14)</x:f>
      </x:c>
      <x:c r="N14" s="14" t="str"/>
      <x:c r="O14" s="14" t="str"/>
    </x:row>
    <x:row r="15">
      <x:c r="A15" s="14" t="n">
        <x:v>14</x:v>
      </x:c>
      <x:c r="B15" s="14" t="str">
        <x:v>Microsoft 365 Business</x:v>
      </x:c>
      <x:c r="C15" s="14" t="str">
        <x:v>MS365-2601</x:v>
      </x:c>
      <x:c r="D15" s="14" t="str">
        <x:v>Not provided</x:v>
      </x:c>
      <x:c r="E15" s="14" t="str">
        <x:v>No PO provided on invoice</x:v>
      </x:c>
      <x:c r="F15" s="14" t="str"/>
      <x:c r="G15" s="28" t="str"/>
      <x:c r="H15" s="14" t="str"/>
      <x:c r="I15" s="14" t="str"/>
      <x:c r="J15" s="14" t="str"/>
      <x:c r="K15" s="28" t="str"/>
      <x:c r="L15" s="28" t="n">
        <x:v>420</x:v>
      </x:c>
      <x:c r="M15" s="28" t="str">
        <x:f>IF(K15="","",L15-K15)</x:f>
      </x:c>
      <x:c r="N15" s="14" t="str"/>
      <x:c r="O15" s="14" t="str"/>
    </x:row>
    <x:row r="16">
      <x:c r="A16" s="14" t="n">
        <x:v>15</x:v>
      </x:c>
      <x:c r="B16" s="14" t="str">
        <x:v>ADP Small Business Payroll</x:v>
      </x:c>
      <x:c r="C16" s="14" t="str">
        <x:v>ADP-2601-01</x:v>
      </x:c>
      <x:c r="D16" s="14" t="str">
        <x:v>Not provided</x:v>
      </x:c>
      <x:c r="E16" s="14" t="str">
        <x:v>No PO provided on invoice</x:v>
      </x:c>
      <x:c r="F16" s="14" t="str"/>
      <x:c r="G16" s="28" t="str"/>
      <x:c r="H16" s="14" t="str"/>
      <x:c r="I16" s="14" t="str"/>
      <x:c r="J16" s="14" t="str"/>
      <x:c r="K16" s="28" t="str"/>
      <x:c r="L16" s="28" t="n">
        <x:v>440</x:v>
      </x:c>
      <x:c r="M16" s="28" t="str">
        <x:f>IF(K16="","",L16-K16)</x:f>
      </x:c>
      <x:c r="N16" s="14" t="str"/>
      <x:c r="O16" s="14" t="str"/>
    </x:row>
    <x:row r="17">
      <x:c r="A17" s="14" t="n">
        <x:v>16</x:v>
      </x:c>
      <x:c r="B17" s="14" t="str">
        <x:v>TechShield IT Support</x:v>
      </x:c>
      <x:c r="C17" s="14" t="str">
        <x:v>TIS-2601-03</x:v>
      </x:c>
      <x:c r="D17" s="14" t="str">
        <x:v>Not provided</x:v>
      </x:c>
      <x:c r="E17" s="14" t="str">
        <x:v>No PO provided on invoice</x:v>
      </x:c>
      <x:c r="F17" s="14" t="str"/>
      <x:c r="G17" s="28" t="str"/>
      <x:c r="H17" s="14" t="str"/>
      <x:c r="I17" s="14" t="str"/>
      <x:c r="J17" s="14" t="str"/>
      <x:c r="K17" s="28" t="str"/>
      <x:c r="L17" s="28" t="n">
        <x:v>1380</x:v>
      </x:c>
      <x:c r="M17" s="28" t="str">
        <x:f>IF(K17="","",L17-K17)</x:f>
      </x:c>
      <x:c r="N17" s="14" t="str"/>
      <x:c r="O17" s="14" t="str"/>
    </x:row>
    <x:row r="18">
      <x:c r="A18" s="14" t="n">
        <x:v>17</x:v>
      </x:c>
      <x:c r="B18" s="14" t="str">
        <x:v>CleanWorks Janitorial</x:v>
      </x:c>
      <x:c r="C18" s="14" t="str">
        <x:v>CWJ-2601-04</x:v>
      </x:c>
      <x:c r="D18" s="14" t="str">
        <x:v>Not provided</x:v>
      </x:c>
      <x:c r="E18" s="14" t="str">
        <x:v>No PO provided on invoice</x:v>
      </x:c>
      <x:c r="F18" s="14" t="str"/>
      <x:c r="G18" s="28" t="str"/>
      <x:c r="H18" s="14" t="str"/>
      <x:c r="I18" s="14" t="str"/>
      <x:c r="J18" s="14" t="str"/>
      <x:c r="K18" s="28" t="str"/>
      <x:c r="L18" s="28" t="n">
        <x:v>850</x:v>
      </x:c>
      <x:c r="M18" s="28" t="str">
        <x:f>IF(K18="","",L18-K18)</x:f>
      </x:c>
      <x:c r="N18" s="14" t="str"/>
      <x:c r="O18" s="14" t="str"/>
    </x:row>
    <x:row r="19">
      <x:c r="A19" s="14" t="n">
        <x:v>18</x:v>
      </x:c>
      <x:c r="B19" s="14" t="str">
        <x:v>James &amp; Co. CPA Services</x:v>
      </x:c>
      <x:c r="C19" s="14" t="str">
        <x:v>JCO-2601-01</x:v>
      </x:c>
      <x:c r="D19" s="14" t="str">
        <x:v>Not provided</x:v>
      </x:c>
      <x:c r="E19" s="14" t="str">
        <x:v>No PO provided on invoice</x:v>
      </x:c>
      <x:c r="F19" s="14" t="str"/>
      <x:c r="G19" s="28" t="str"/>
      <x:c r="H19" s="14" t="str"/>
      <x:c r="I19" s="14" t="str"/>
      <x:c r="J19" s="14" t="str"/>
      <x:c r="K19" s="28" t="str"/>
      <x:c r="L19" s="28" t="n">
        <x:v>2400</x:v>
      </x:c>
      <x:c r="M19" s="28" t="str">
        <x:f>IF(K19="","",L19-K19)</x:f>
      </x:c>
      <x:c r="N19" s="14" t="str"/>
      <x:c r="O19" s="14" t="str"/>
    </x:row>
    <x:row r="20">
      <x:c r="A20" s="14" t="n">
        <x:v>19</x:v>
      </x:c>
      <x:c r="B20" s="14" t="str">
        <x:v>Kirkland Legal &amp; Compliance</x:v>
      </x:c>
      <x:c r="C20" s="14" t="str">
        <x:v>KLC-2601-02</x:v>
      </x:c>
      <x:c r="D20" s="14" t="str">
        <x:v>Not provided</x:v>
      </x:c>
      <x:c r="E20" s="14" t="str">
        <x:v>No PO provided on invoice</x:v>
      </x:c>
      <x:c r="F20" s="14" t="str"/>
      <x:c r="G20" s="28" t="str"/>
      <x:c r="H20" s="14" t="str"/>
      <x:c r="I20" s="14" t="str"/>
      <x:c r="J20" s="14" t="str"/>
      <x:c r="K20" s="28" t="str"/>
      <x:c r="L20" s="28" t="n">
        <x:v>1750</x:v>
      </x:c>
      <x:c r="M20" s="28" t="str">
        <x:f>IF(K20="","",L20-K20)</x:f>
      </x:c>
      <x:c r="N20" s="14" t="str"/>
      <x:c r="O20" s="14" t="str"/>
    </x:row>
    <x:row r="21">
      <x:c r="A21" s="14" t="n">
        <x:v>20</x:v>
      </x:c>
      <x:c r="B21" s="14" t="str">
        <x:v>OfficePro Supplies</x:v>
      </x:c>
      <x:c r="C21" s="14" t="str">
        <x:v>OPS-2601-16</x:v>
      </x:c>
      <x:c r="D21" s="14" t="str">
        <x:v>Not provided</x:v>
      </x:c>
      <x:c r="E21" s="14" t="str">
        <x:v>No PO provided on invoice</x:v>
      </x:c>
      <x:c r="F21" s="14" t="str"/>
      <x:c r="G21" s="28" t="str"/>
      <x:c r="H21" s="14" t="str"/>
      <x:c r="I21" s="14" t="str"/>
      <x:c r="J21" s="14" t="str"/>
      <x:c r="K21" s="28" t="str"/>
      <x:c r="L21" s="28" t="n">
        <x:v>1133.13</x:v>
      </x:c>
      <x:c r="M21" s="28" t="str">
        <x:f>IF(K21="","",L21-K21)</x:f>
      </x:c>
      <x:c r="N21" s="14" t="str"/>
      <x:c r="O21" s="14" t="str"/>
    </x:row>
    <x:row r="22">
      <x:c r="A22" s="14" t="n">
        <x:v>21</x:v>
      </x:c>
      <x:c r="B22" s="14" t="str">
        <x:v>Potomac Steel Supply</x:v>
      </x:c>
      <x:c r="C22" s="14" t="str">
        <x:v>PSS-2601-001</x:v>
      </x:c>
      <x:c r="D22" s="14" t="str">
        <x:v>PO-2601-001</x:v>
      </x:c>
      <x:c r="E22" s="14" t="str">
        <x:v>Cold rolled steel sheets, 14 ga</x:v>
      </x:c>
      <x:c r="F22" s="14" t="n">
        <x:v>120</x:v>
      </x:c>
      <x:c r="G22" s="28" t="n">
        <x:v>42.5</x:v>
      </x:c>
      <x:c r="H22" s="14" t="n">
        <x:v>120</x:v>
      </x:c>
      <x:c r="I22" s="14" t="n">
        <x:v>120</x:v>
      </x:c>
      <x:c r="J22" s="14" t="n">
        <x:v>42.5</x:v>
      </x:c>
      <x:c r="K22" s="28" t="n">
        <x:v>5700.3</x:v>
      </x:c>
      <x:c r="L22" s="28" t="n">
        <x:v>5700.3</x:v>
      </x:c>
      <x:c r="M22" s="28" t="n">
        <x:f>IF(K22="","",L22-K22)</x:f>
        <x:v>0</x:v>
      </x:c>
      <x:c r="N22" s="14" t="str"/>
      <x:c r="O22" s="14" t="str"/>
    </x:row>
    <x:row r="23">
      <x:c r="A23" s="14" t="n">
        <x:v>22</x:v>
      </x:c>
      <x:c r="B23" s="14" t="str">
        <x:v>Valley Freight Lines</x:v>
      </x:c>
      <x:c r="C23" s="14" t="str">
        <x:v>VFL-2601-010</x:v>
      </x:c>
      <x:c r="D23" s="14" t="str">
        <x:v>Not provided</x:v>
      </x:c>
      <x:c r="E23" s="14" t="str">
        <x:v>No PO provided on invoice</x:v>
      </x:c>
      <x:c r="F23" s="14" t="str"/>
      <x:c r="G23" s="28" t="str"/>
      <x:c r="H23" s="14" t="str"/>
      <x:c r="I23" s="14" t="str"/>
      <x:c r="J23" s="14" t="str"/>
      <x:c r="K23" s="28" t="str"/>
      <x:c r="L23" s="28" t="n">
        <x:v>382.4</x:v>
      </x:c>
      <x:c r="M23" s="28" t="str">
        <x:f>IF(K23="","",L23-K23)</x:f>
      </x:c>
      <x:c r="N23" s="14" t="str"/>
      <x:c r="O23" s="14" t="str"/>
    </x:row>
    <x:row r="24">
      <x:c r="A24" s="14" t="n">
        <x:v>23</x:v>
      </x:c>
      <x:c r="B24" s="14" t="str">
        <x:v>NOVA Packaging &amp; Crating</x:v>
      </x:c>
      <x:c r="C24" s="14" t="str">
        <x:v>NPC-2601-012</x:v>
      </x:c>
      <x:c r="D24" s="14" t="str">
        <x:v>PO-2601-007</x:v>
      </x:c>
      <x:c r="E24" s="14" t="str">
        <x:v>Custom foam inserts</x:v>
      </x:c>
      <x:c r="F24" s="14" t="n">
        <x:v>240</x:v>
      </x:c>
      <x:c r="G24" s="28" t="n">
        <x:v>1.45</x:v>
      </x:c>
      <x:c r="H24" s="14" t="n">
        <x:v>240</x:v>
      </x:c>
      <x:c r="I24" s="14" t="n">
        <x:v>240</x:v>
      </x:c>
      <x:c r="J24" s="14" t="n">
        <x:v>1.55</x:v>
      </x:c>
      <x:c r="K24" s="28" t="n">
        <x:v>704.71</x:v>
      </x:c>
      <x:c r="L24" s="28" t="n">
        <x:v>729.98</x:v>
      </x:c>
      <x:c r="M24" s="28" t="n">
        <x:f>IF(K24="","",L24-K24)</x:f>
        <x:v>25.269999999999982</x:v>
      </x:c>
      <x:c r="N24" s="14" t="str"/>
      <x:c r="O24" s="14" t="str"/>
    </x:row>
    <x:row r="25">
      <x:c r="A25" s="14" t="n">
        <x:v>24</x:v>
      </x:c>
      <x:c r="B25" s="14" t="str">
        <x:v>Blue Ridge Industrial Plastics</x:v>
      </x:c>
      <x:c r="C25" s="14" t="str">
        <x:v>BRIP-2601-007</x:v>
      </x:c>
      <x:c r="D25" s="14" t="str">
        <x:v>PO-2601-008</x:v>
      </x:c>
      <x:c r="E25" s="14" t="str">
        <x:v>Fiber cabinet cap covers</x:v>
      </x:c>
      <x:c r="F25" s="14" t="n">
        <x:v>300</x:v>
      </x:c>
      <x:c r="G25" s="28" t="n">
        <x:v>2.1</x:v>
      </x:c>
      <x:c r="H25" s="14" t="n">
        <x:v>275</x:v>
      </x:c>
      <x:c r="I25" s="14" t="n">
        <x:v>300</x:v>
      </x:c>
      <x:c r="J25" s="14" t="n">
        <x:v>2.1</x:v>
      </x:c>
      <x:c r="K25" s="28" t="n">
        <x:v>1524.51</x:v>
      </x:c>
      <x:c r="L25" s="28" t="n">
        <x:v>1579.79</x:v>
      </x:c>
      <x:c r="M25" s="28" t="n">
        <x:f>IF(K25="","",L25-K25)</x:f>
        <x:v>55.27999999999997</x:v>
      </x:c>
      <x:c r="N25" s="14" t="str"/>
      <x:c r="O25" s="14" t="str"/>
    </x:row>
    <x:row r="26">
      <x:c r="A26" s="14" t="n">
        <x:v>25</x:v>
      </x:c>
      <x:c r="B26" s="14" t="str">
        <x:v>Dominion Aluminum &amp; Fasteners</x:v>
      </x:c>
      <x:c r="C26" s="14" t="str">
        <x:v>DAF-2601-015</x:v>
      </x:c>
      <x:c r="D26" s="14" t="str">
        <x:v>PO-2601-009</x:v>
      </x:c>
      <x:c r="E26" s="14" t="str">
        <x:v>Stainless fastener kit</x:v>
      </x:c>
      <x:c r="F26" s="14" t="n">
        <x:v>40</x:v>
      </x:c>
      <x:c r="G26" s="28" t="n">
        <x:v>32.75</x:v>
      </x:c>
      <x:c r="H26" s="14" t="n">
        <x:v>35</x:v>
      </x:c>
      <x:c r="I26" s="14" t="n">
        <x:v>40</x:v>
      </x:c>
      <x:c r="J26" s="14" t="n">
        <x:v>32.75</x:v>
      </x:c>
      <x:c r="K26" s="28" t="n">
        <x:v>2432.24</x:v>
      </x:c>
      <x:c r="L26" s="28" t="n">
        <x:v>2604.67</x:v>
      </x:c>
      <x:c r="M26" s="28" t="n">
        <x:f>IF(K26="","",L26-K26)</x:f>
        <x:v>172.4300000000003</x:v>
      </x:c>
      <x:c r="N26" s="14" t="str"/>
      <x:c r="O26" s="14" t="str"/>
    </x:row>
    <x:row r="27">
      <x:c r="A27" s="14" t="n">
        <x:v>26</x:v>
      </x:c>
      <x:c r="B27" s="14" t="str">
        <x:v>Potomac Steel Supply</x:v>
      </x:c>
      <x:c r="C27" s="14" t="str">
        <x:v>PSS-2601-003</x:v>
      </x:c>
      <x:c r="D27" s="14" t="str">
        <x:v>Not provided</x:v>
      </x:c>
      <x:c r="E27" s="14" t="str">
        <x:v>No PO provided on invoice</x:v>
      </x:c>
      <x:c r="F27" s="14" t="str"/>
      <x:c r="G27" s="28" t="str"/>
      <x:c r="H27" s="14" t="str"/>
      <x:c r="I27" s="14" t="str"/>
      <x:c r="J27" s="14" t="str"/>
      <x:c r="K27" s="28" t="str"/>
      <x:c r="L27" s="28" t="n">
        <x:v>3353.24</x:v>
      </x:c>
      <x:c r="M27" s="28" t="str">
        <x:f>IF(K27="","",L27-K27)</x:f>
      </x:c>
      <x:c r="N27" s="14" t="str"/>
      <x:c r="O27" s="14" t="str"/>
    </x:row>
    <x:row r="28">
      <x:c r="A28" s="14" t="n">
        <x:v>27</x:v>
      </x:c>
      <x:c r="B28" s="14" t="str">
        <x:v>Arlington Machine Parts</x:v>
      </x:c>
      <x:c r="C28" s="14" t="str">
        <x:v>AMP-2601-007</x:v>
      </x:c>
      <x:c r="D28" s="14" t="str">
        <x:v>PO-2601-005</x:v>
      </x:c>
      <x:c r="E28" s="14" t="str">
        <x:v>Replacement drill bits - carbide</x:v>
      </x:c>
      <x:c r="F28" s="14" t="n">
        <x:v>12</x:v>
      </x:c>
      <x:c r="G28" s="28" t="n">
        <x:v>48</x:v>
      </x:c>
      <x:c r="H28" s="14" t="n">
        <x:v>12</x:v>
      </x:c>
      <x:c r="I28" s="14" t="n">
        <x:v>12</x:v>
      </x:c>
      <x:c r="J28" s="14" t="n">
        <x:v>48</x:v>
      </x:c>
      <x:c r="K28" s="28" t="n">
        <x:v>1128.82</x:v>
      </x:c>
      <x:c r="L28" s="28" t="n">
        <x:v>1128.82</x:v>
      </x:c>
      <x:c r="M28" s="28" t="n">
        <x:f>IF(K28="","",L28-K28)</x:f>
        <x:v>0</x:v>
      </x:c>
      <x:c r="N28" s="14" t="str"/>
      <x:c r="O28" s="14" t="str"/>
    </x:row>
    <x:row r="29">
      <x:c r="A29" s="14" t="n">
        <x:v>28</x:v>
      </x:c>
      <x:c r="B29" s="14" t="str">
        <x:v>SecureGate Monitoring</x:v>
      </x:c>
      <x:c r="C29" s="14" t="str">
        <x:v>SGM-2601</x:v>
      </x:c>
      <x:c r="D29" s="14" t="str">
        <x:v>Not provided</x:v>
      </x:c>
      <x:c r="E29" s="14" t="str">
        <x:v>No PO provided on invoice</x:v>
      </x:c>
      <x:c r="F29" s="14" t="str"/>
      <x:c r="G29" s="28" t="str"/>
      <x:c r="H29" s="14" t="str"/>
      <x:c r="I29" s="14" t="str"/>
      <x:c r="J29" s="14" t="str"/>
      <x:c r="K29" s="28" t="str"/>
      <x:c r="L29" s="28" t="n">
        <x:v>180</x:v>
      </x:c>
      <x:c r="M29" s="28" t="str">
        <x:f>IF(K29="","",L29-K29)</x:f>
      </x:c>
      <x:c r="N29" s="14" t="str"/>
      <x:c r="O29" s="14" t="str"/>
    </x:row>
    <x:row r="30">
      <x:c r="A30" s="14" t="n">
        <x:v>29</x:v>
      </x:c>
      <x:c r="B30" s="14" t="str">
        <x:v>NOVA Industrial Waste</x:v>
      </x:c>
      <x:c r="C30" s="14" t="str">
        <x:v>NIW-2601-01</x:v>
      </x:c>
      <x:c r="D30" s="14" t="str">
        <x:v>Not provided</x:v>
      </x:c>
      <x:c r="E30" s="14" t="str">
        <x:v>No PO provided on invoice</x:v>
      </x:c>
      <x:c r="F30" s="14" t="str"/>
      <x:c r="G30" s="28" t="str"/>
      <x:c r="H30" s="14" t="str"/>
      <x:c r="I30" s="14" t="str"/>
      <x:c r="J30" s="14" t="str"/>
      <x:c r="K30" s="28" t="str"/>
      <x:c r="L30" s="28" t="n">
        <x:v>650</x:v>
      </x:c>
      <x:c r="M30" s="28" t="str">
        <x:f>IF(K30="","",L30-K30)</x:f>
      </x:c>
      <x:c r="N30" s="14" t="str"/>
      <x:c r="O30" s="14" t="str"/>
    </x:row>
    <x:row r="31">
      <x:c r="A31" s="14" t="n">
        <x:v>30</x:v>
      </x:c>
      <x:c r="B31" s="14" t="str">
        <x:v>Commonwealth Powder Coating</x:v>
      </x:c>
      <x:c r="C31" s="14" t="str">
        <x:v>CPC-2601-003</x:v>
      </x:c>
      <x:c r="D31" s="14" t="str">
        <x:v>PO-2601-010</x:v>
      </x:c>
      <x:c r="E31" s="14" t="str">
        <x:v>Powder coating - enclosure panel batch JOB-2601-22</x:v>
      </x:c>
      <x:c r="F31" s="14" t="n">
        <x:v>360</x:v>
      </x:c>
      <x:c r="G31" s="28" t="n">
        <x:v>4.35</x:v>
      </x:c>
      <x:c r="H31" s="14" t="n">
        <x:v>360</x:v>
      </x:c>
      <x:c r="I31" s="14" t="n">
        <x:v>360</x:v>
      </x:c>
      <x:c r="J31" s="14" t="n">
        <x:v>4.35</x:v>
      </x:c>
      <x:c r="K31" s="28" t="n">
        <x:v>1566</x:v>
      </x:c>
      <x:c r="L31" s="28" t="n">
        <x:v>1716</x:v>
      </x:c>
      <x:c r="M31" s="28" t="n">
        <x:f>IF(K31="","",L31-K31)</x:f>
        <x:v>150</x:v>
      </x:c>
      <x:c r="N31" s="14" t="str"/>
      <x:c r="O31" s="14" t="str"/>
    </x:row>
  </x:sheetData>
  <x:conditionalFormatting sqref="M2:M31">
    <x:cfRule type="expression" dxfId="0" priority="1">
      <x:formula>ABS(M2)&gt;0.01</x:formula>
    </x:cfRule>
  </x:conditionalFormatting>
  <x:pageMargins left="0.7" right="0.7" top="0.75" bottom="0.75" header="0.3" footer="0.3"/>
  <x:tableParts count="1">
    <x:tablePart xmlns:r="http://schemas.openxmlformats.org/officeDocument/2006/relationships" r:id="R76bf5b9a26d541a2"/>
  </x:tableParts>
</x:worksheet>
</file>

<file path=xl/worksheets/sheet4.xml><?xml version="1.0" encoding="utf-8"?>
<x:worksheet xmlns:x="http://schemas.openxmlformats.org/spreadsheetml/2006/main">
  <x:sheetFormatPr defaultRowHeight="15"/>
  <x:cols>
    <x:col min="1" max="1" width="5.880000114440918" hidden="0" customWidth="1"/>
    <x:col min="2" max="2" width="25.1299991607666" hidden="0" customWidth="1"/>
    <x:col min="3" max="3" width="11.75" hidden="0" customWidth="1"/>
    <x:col min="4" max="4" width="12.630000114440918" hidden="0" customWidth="1"/>
    <x:col min="5" max="5" width="25.3799991607666" hidden="0" customWidth="1"/>
    <x:col min="6" max="6" width="52" hidden="0" customWidth="1"/>
    <x:col min="7" max="7" width="23.25" hidden="0" customWidth="1"/>
    <x:col min="8" max="8" width="9.630000114440918" hidden="0" customWidth="1"/>
    <x:col min="9" max="9" width="42" hidden="0" customWidth="1"/>
  </x:cols>
  <x:sheetData>
    <x:row r="1">
      <x:c r="A1" s="38" t="str">
        <x:v>Seq</x:v>
      </x:c>
      <x:c r="B1" s="38" t="str">
        <x:v>Vendor</x:v>
      </x:c>
      <x:c r="C1" s="38" t="str">
        <x:v>Invoice No.</x:v>
      </x:c>
      <x:c r="D1" s="38" t="str">
        <x:v>Invoice Total</x:v>
      </x:c>
      <x:c r="E1" s="38" t="str">
        <x:v>Issue Type</x:v>
      </x:c>
      <x:c r="F1" s="38" t="str">
        <x:v>Expected Action</x:v>
      </x:c>
      <x:c r="G1" s="38" t="str">
        <x:v>Expected PO/Receipt Total</x:v>
      </x:c>
      <x:c r="H1" s="38" t="str">
        <x:v>Variance</x:v>
      </x:c>
      <x:c r="I1" s="38" t="str">
        <x:v>Notes / Receiving Problem</x:v>
      </x:c>
    </x:row>
    <x:row r="2">
      <x:c r="A2" s="14" t="n">
        <x:v>1</x:v>
      </x:c>
      <x:c r="B2" s="14" t="str">
        <x:v>Potomac Steel Supply</x:v>
      </x:c>
      <x:c r="C2" s="14" t="str">
        <x:v>PSS-2601-001</x:v>
      </x:c>
      <x:c r="D2" s="28" t="n">
        <x:v>5700.3</x:v>
      </x:c>
      <x:c r="E2" s="14" t="str">
        <x:v>Exact PO match</x:v>
      </x:c>
      <x:c r="F2" s="14" t="str">
        <x:v>Approve for payment after 3-way match.</x:v>
      </x:c>
      <x:c r="G2" s="28" t="n">
        <x:v>5700.3</x:v>
      </x:c>
      <x:c r="H2" s="28" t="n">
        <x:v>0</x:v>
      </x:c>
      <x:c r="I2" s="14" t="str"/>
    </x:row>
    <x:row r="3">
      <x:c r="A3" s="14" t="n">
        <x:v>2</x:v>
      </x:c>
      <x:c r="B3" s="14" t="str">
        <x:v>Dominion Aluminum &amp; Fasteners</x:v>
      </x:c>
      <x:c r="C3" s="14" t="str">
        <x:v>DAF-2601-014</x:v>
      </x:c>
      <x:c r="D3" s="28" t="n">
        <x:v>3896.33</x:v>
      </x:c>
      <x:c r="E3" s="14" t="str">
        <x:v>Price discrepancy</x:v>
      </x:c>
      <x:c r="F3" s="14" t="str">
        <x:v>Do not approve yet. Ask procurement/vendor to confirm the higher unit price.</x:v>
      </x:c>
      <x:c r="G3" s="28" t="n">
        <x:v>3769.97</x:v>
      </x:c>
      <x:c r="H3" s="28" t="n">
        <x:v>126.36</x:v>
      </x:c>
      <x:c r="I3" s="14" t="str">
        <x:v>PO unit price for aluminum sheet is $38.00. Invoice shows $39.50.</x:v>
      </x:c>
    </x:row>
    <x:row r="4">
      <x:c r="A4" s="14" t="n">
        <x:v>3</x:v>
      </x:c>
      <x:c r="B4" s="14" t="str">
        <x:v>Blue Ridge Industrial Plastics</x:v>
      </x:c>
      <x:c r="C4" s="14" t="str">
        <x:v>BRIP-2601-006</x:v>
      </x:c>
      <x:c r="D4" s="28" t="n">
        <x:v>1645.55</x:v>
      </x:c>
      <x:c r="E4" s="14" t="str">
        <x:v>Quantity discrepancy</x:v>
      </x:c>
      <x:c r="F4" s="14" t="str">
        <x:v>Place on hold. Enter only received quantity or request corrected invoice.</x:v>
      </x:c>
      <x:c r="G4" s="28" t="n">
        <x:v>1548.15</x:v>
      </x:c>
      <x:c r="H4" s="28" t="n">
        <x:v>97.4</x:v>
      </x:c>
      <x:c r="I4" s="14" t="str">
        <x:v>Receiving report shows 450 edge guards received, not 500.</x:v>
      </x:c>
    </x:row>
    <x:row r="5">
      <x:c r="A5" s="14" t="n">
        <x:v>4</x:v>
      </x:c>
      <x:c r="B5" s="14" t="str">
        <x:v>Commonwealth Powder Coating</x:v>
      </x:c>
      <x:c r="C5" s="14" t="str">
        <x:v>CPC-2601-002</x:v>
      </x:c>
      <x:c r="D5" s="28" t="n">
        <x:v>1385</x:v>
      </x:c>
      <x:c r="E5" s="14" t="str">
        <x:v>Exact PO match</x:v>
      </x:c>
      <x:c r="F5" s="14" t="str">
        <x:v>Approve. Code to Outside Services / Production.</x:v>
      </x:c>
      <x:c r="G5" s="28" t="n">
        <x:v>1385</x:v>
      </x:c>
      <x:c r="H5" s="28" t="n">
        <x:v>0</x:v>
      </x:c>
      <x:c r="I5" s="14" t="str"/>
    </x:row>
    <x:row r="6">
      <x:c r="A6" s="14" t="n">
        <x:v>5</x:v>
      </x:c>
      <x:c r="B6" s="14" t="str">
        <x:v>NOVA Packaging &amp; Crating</x:v>
      </x:c>
      <x:c r="C6" s="14" t="str">
        <x:v>NPC-2601-011</x:v>
      </x:c>
      <x:c r="D6" s="28" t="n">
        <x:v>1215.93</x:v>
      </x:c>
      <x:c r="E6" s="14" t="str">
        <x:v>Missing PO number</x:v>
      </x:c>
      <x:c r="F6" s="14" t="str">
        <x:v>Hold for buyer approval because materials bill is over $500 and no PO is listed.</x:v>
      </x:c>
      <x:c r="G6" s="28" t="n">
        <x:v>1215.93</x:v>
      </x:c>
      <x:c r="H6" s="28" t="n">
        <x:v>0</x:v>
      </x:c>
      <x:c r="I6" s="14" t="str">
        <x:v>No PO number on invoice.</x:v>
      </x:c>
    </x:row>
    <x:row r="7">
      <x:c r="A7" s="14" t="n">
        <x:v>6</x:v>
      </x:c>
      <x:c r="B7" s="14" t="str">
        <x:v>Arlington Machine Parts</x:v>
      </x:c>
      <x:c r="C7" s="14" t="str">
        <x:v>AMP-2601-007</x:v>
      </x:c>
      <x:c r="D7" s="28" t="n">
        <x:v>1128.82</x:v>
      </x:c>
      <x:c r="E7" s="14" t="str">
        <x:v>Exact PO match</x:v>
      </x:c>
      <x:c r="F7" s="14" t="str">
        <x:v>Approve. Code to Repairs &amp; Maintenance.</x:v>
      </x:c>
      <x:c r="G7" s="28" t="n">
        <x:v>1128.82</x:v>
      </x:c>
      <x:c r="H7" s="28" t="n">
        <x:v>0</x:v>
      </x:c>
      <x:c r="I7" s="14" t="str"/>
    </x:row>
    <x:row r="8">
      <x:c r="A8" s="14" t="n">
        <x:v>7</x:v>
      </x:c>
      <x:c r="B8" s="14" t="str">
        <x:v>Capital Safety Gear</x:v>
      </x:c>
      <x:c r="C8" s="14" t="str">
        <x:v>CSG-2601-003</x:v>
      </x:c>
      <x:c r="D8" s="28" t="n">
        <x:v>875.98</x:v>
      </x:c>
      <x:c r="E8" s="14" t="str">
        <x:v>No PO required - under threshold</x:v>
      </x:c>
      <x:c r="F8" s="14" t="str">
        <x:v>Approve if department manager confirms receipt.</x:v>
      </x:c>
      <x:c r="G8" s="28" t="n">
        <x:v>875.98</x:v>
      </x:c>
      <x:c r="H8" s="28" t="n">
        <x:v>0</x:v>
      </x:c>
      <x:c r="I8" s="14" t="str"/>
    </x:row>
    <x:row r="9">
      <x:c r="A9" s="14" t="n">
        <x:v>8</x:v>
      </x:c>
      <x:c r="B9" s="14" t="str">
        <x:v>Valley Freight Lines</x:v>
      </x:c>
      <x:c r="C9" s="14" t="str">
        <x:v>VFL-2601-009</x:v>
      </x:c>
      <x:c r="D9" s="28" t="n">
        <x:v>640</x:v>
      </x:c>
      <x:c r="E9" s="14" t="str">
        <x:v>Service invoice - no PO required</x:v>
      </x:c>
      <x:c r="F9" s="14" t="str">
        <x:v>Approve. Code to Freight/Shipping; mark billable if assignment requires.</x:v>
      </x:c>
      <x:c r="G9" s="28" t="n">
        <x:v>640</x:v>
      </x:c>
      <x:c r="H9" s="28" t="n">
        <x:v>0</x:v>
      </x:c>
      <x:c r="I9" s="14" t="str"/>
    </x:row>
    <x:row r="10">
      <x:c r="A10" s="14" t="n">
        <x:v>9</x:v>
      </x:c>
      <x:c r="B10" s="14" t="str">
        <x:v>MidAtlantic Tool Rental</x:v>
      </x:c>
      <x:c r="C10" s="14" t="str">
        <x:v>MTR-2601-001</x:v>
      </x:c>
      <x:c r="D10" s="28" t="n">
        <x:v>1411.25</x:v>
      </x:c>
      <x:c r="E10" s="14" t="str">
        <x:v>Exact PO match</x:v>
      </x:c>
      <x:c r="F10" s="14" t="str">
        <x:v>Approve. Code to Equipment Rental.</x:v>
      </x:c>
      <x:c r="G10" s="28" t="n">
        <x:v>1411.25</x:v>
      </x:c>
      <x:c r="H10" s="28" t="n">
        <x:v>0</x:v>
      </x:c>
      <x:c r="I10" s="14" t="str"/>
    </x:row>
    <x:row r="11">
      <x:c r="A11" s="14" t="n">
        <x:v>10</x:v>
      </x:c>
      <x:c r="B11" s="14" t="str">
        <x:v>Fairfax Industrial Park LLC</x:v>
      </x:c>
      <x:c r="C11" s="14" t="str">
        <x:v>FIP-2026-01</x:v>
      </x:c>
      <x:c r="D11" s="28" t="n">
        <x:v>12000</x:v>
      </x:c>
      <x:c r="E11" s="14" t="str">
        <x:v>Recurring expense</x:v>
      </x:c>
      <x:c r="F11" s="14" t="str">
        <x:v>Approve and record rent expense.</x:v>
      </x:c>
      <x:c r="G11" s="28" t="n">
        <x:v>12000</x:v>
      </x:c>
      <x:c r="H11" s="28" t="n">
        <x:v>0</x:v>
      </x:c>
      <x:c r="I11" s="14" t="str"/>
    </x:row>
    <x:row r="12">
      <x:c r="A12" s="14" t="n">
        <x:v>11</x:v>
      </x:c>
      <x:c r="B12" s="14" t="str">
        <x:v>Virginia Power &amp; Light</x:v>
      </x:c>
      <x:c r="C12" s="14" t="str">
        <x:v>VPL-013126</x:v>
      </x:c>
      <x:c r="D12" s="28" t="n">
        <x:v>3184.76</x:v>
      </x:c>
      <x:c r="E12" s="14" t="str">
        <x:v>Recurring utility</x:v>
      </x:c>
      <x:c r="F12" s="14" t="str">
        <x:v>Approve and record utilities expense.</x:v>
      </x:c>
      <x:c r="G12" s="28" t="n">
        <x:v>3184.76</x:v>
      </x:c>
      <x:c r="H12" s="28" t="n">
        <x:v>0</x:v>
      </x:c>
      <x:c r="I12" s="14" t="str"/>
    </x:row>
    <x:row r="13">
      <x:c r="A13" s="14" t="n">
        <x:v>12</x:v>
      </x:c>
      <x:c r="B13" s="14" t="str">
        <x:v>Atlantic Business Insurance</x:v>
      </x:c>
      <x:c r="C13" s="14" t="str">
        <x:v>ABI-2601</x:v>
      </x:c>
      <x:c r="D13" s="28" t="n">
        <x:v>1850</x:v>
      </x:c>
      <x:c r="E13" s="14" t="str">
        <x:v>Recurring expense</x:v>
      </x:c>
      <x:c r="F13" s="14" t="str">
        <x:v>Record monthly insurance expense or prepaid amortization per assignment.</x:v>
      </x:c>
      <x:c r="G13" s="28" t="n">
        <x:v>1850</x:v>
      </x:c>
      <x:c r="H13" s="28" t="n">
        <x:v>0</x:v>
      </x:c>
      <x:c r="I13" s="14" t="str"/>
    </x:row>
    <x:row r="14">
      <x:c r="A14" s="14" t="n">
        <x:v>13</x:v>
      </x:c>
      <x:c r="B14" s="14" t="str">
        <x:v>QuickBooks / Intuit</x:v>
      </x:c>
      <x:c r="C14" s="14" t="str">
        <x:v>INT-2601-010</x:v>
      </x:c>
      <x:c r="D14" s="28" t="n">
        <x:v>200</x:v>
      </x:c>
      <x:c r="E14" s="14" t="str">
        <x:v>Credit card autopay</x:v>
      </x:c>
      <x:c r="F14" s="14" t="str">
        <x:v>Record credit card charge to Software Expense.</x:v>
      </x:c>
      <x:c r="G14" s="28" t="n">
        <x:v>200</x:v>
      </x:c>
      <x:c r="H14" s="28" t="n">
        <x:v>0</x:v>
      </x:c>
      <x:c r="I14" s="14" t="str"/>
    </x:row>
    <x:row r="15">
      <x:c r="A15" s="14" t="n">
        <x:v>14</x:v>
      </x:c>
      <x:c r="B15" s="14" t="str">
        <x:v>Microsoft 365 Business</x:v>
      </x:c>
      <x:c r="C15" s="14" t="str">
        <x:v>MS365-2601</x:v>
      </x:c>
      <x:c r="D15" s="28" t="n">
        <x:v>420</x:v>
      </x:c>
      <x:c r="E15" s="14" t="str">
        <x:v>Credit card autopay</x:v>
      </x:c>
      <x:c r="F15" s="14" t="str">
        <x:v>Record credit card charge to Software Expense.</x:v>
      </x:c>
      <x:c r="G15" s="28" t="n">
        <x:v>420</x:v>
      </x:c>
      <x:c r="H15" s="28" t="n">
        <x:v>0</x:v>
      </x:c>
      <x:c r="I15" s="14" t="str"/>
    </x:row>
    <x:row r="16">
      <x:c r="A16" s="14" t="n">
        <x:v>15</x:v>
      </x:c>
      <x:c r="B16" s="14" t="str">
        <x:v>ADP Small Business Payroll</x:v>
      </x:c>
      <x:c r="C16" s="14" t="str">
        <x:v>ADP-2601-01</x:v>
      </x:c>
      <x:c r="D16" s="28" t="n">
        <x:v>440</x:v>
      </x:c>
      <x:c r="E16" s="14" t="str">
        <x:v>Recurring service</x:v>
      </x:c>
      <x:c r="F16" s="14" t="str">
        <x:v>Approve. Code to Payroll Service Fees.</x:v>
      </x:c>
      <x:c r="G16" s="28" t="n">
        <x:v>440</x:v>
      </x:c>
      <x:c r="H16" s="28" t="n">
        <x:v>0</x:v>
      </x:c>
      <x:c r="I16" s="14" t="str"/>
    </x:row>
    <x:row r="17">
      <x:c r="A17" s="14" t="n">
        <x:v>16</x:v>
      </x:c>
      <x:c r="B17" s="14" t="str">
        <x:v>TechShield IT Support</x:v>
      </x:c>
      <x:c r="C17" s="14" t="str">
        <x:v>TIS-2601-03</x:v>
      </x:c>
      <x:c r="D17" s="28" t="n">
        <x:v>1380</x:v>
      </x:c>
      <x:c r="E17" s="14" t="str">
        <x:v>Service invoice - no PO required</x:v>
      </x:c>
      <x:c r="F17" s="14" t="str">
        <x:v>Approve retainer; confirm emergency ticket with operations manager.</x:v>
      </x:c>
      <x:c r="G17" s="28" t="n">
        <x:v>1380</x:v>
      </x:c>
      <x:c r="H17" s="28" t="n">
        <x:v>0</x:v>
      </x:c>
      <x:c r="I17" s="14" t="str"/>
    </x:row>
    <x:row r="18">
      <x:c r="A18" s="14" t="n">
        <x:v>17</x:v>
      </x:c>
      <x:c r="B18" s="14" t="str">
        <x:v>CleanWorks Janitorial</x:v>
      </x:c>
      <x:c r="C18" s="14" t="str">
        <x:v>CWJ-2601-04</x:v>
      </x:c>
      <x:c r="D18" s="28" t="n">
        <x:v>850</x:v>
      </x:c>
      <x:c r="E18" s="14" t="str">
        <x:v>Recurring service</x:v>
      </x:c>
      <x:c r="F18" s="14" t="str">
        <x:v>Approve. Code to Janitorial Expense.</x:v>
      </x:c>
      <x:c r="G18" s="28" t="n">
        <x:v>850</x:v>
      </x:c>
      <x:c r="H18" s="28" t="n">
        <x:v>0</x:v>
      </x:c>
      <x:c r="I18" s="14" t="str"/>
    </x:row>
    <x:row r="19">
      <x:c r="A19" s="14" t="n">
        <x:v>18</x:v>
      </x:c>
      <x:c r="B19" s="14" t="str">
        <x:v>James &amp; Co. CPA Services</x:v>
      </x:c>
      <x:c r="C19" s="14" t="str">
        <x:v>JCO-2601-01</x:v>
      </x:c>
      <x:c r="D19" s="28" t="n">
        <x:v>2400</x:v>
      </x:c>
      <x:c r="E19" s="14" t="str">
        <x:v>Professional service</x:v>
      </x:c>
      <x:c r="F19" s="14" t="str">
        <x:v>Approve if controller confirms work performed.</x:v>
      </x:c>
      <x:c r="G19" s="28" t="n">
        <x:v>2400</x:v>
      </x:c>
      <x:c r="H19" s="28" t="n">
        <x:v>0</x:v>
      </x:c>
      <x:c r="I19" s="14" t="str"/>
    </x:row>
    <x:row r="20">
      <x:c r="A20" s="14" t="n">
        <x:v>19</x:v>
      </x:c>
      <x:c r="B20" s="14" t="str">
        <x:v>Kirkland Legal &amp; Compliance</x:v>
      </x:c>
      <x:c r="C20" s="14" t="str">
        <x:v>KLC-2601-02</x:v>
      </x:c>
      <x:c r="D20" s="28" t="n">
        <x:v>1750</x:v>
      </x:c>
      <x:c r="E20" s="14" t="str">
        <x:v>Professional service</x:v>
      </x:c>
      <x:c r="F20" s="14" t="str">
        <x:v>Approve if manager approves legal service.</x:v>
      </x:c>
      <x:c r="G20" s="28" t="n">
        <x:v>1750</x:v>
      </x:c>
      <x:c r="H20" s="28" t="n">
        <x:v>0</x:v>
      </x:c>
      <x:c r="I20" s="14" t="str"/>
    </x:row>
    <x:row r="21">
      <x:c r="A21" s="14" t="n">
        <x:v>20</x:v>
      </x:c>
      <x:c r="B21" s="14" t="str">
        <x:v>OfficePro Supplies</x:v>
      </x:c>
      <x:c r="C21" s="14" t="str">
        <x:v>OPS-2601-16</x:v>
      </x:c>
      <x:c r="D21" s="28" t="n">
        <x:v>1133.13</x:v>
      </x:c>
      <x:c r="E21" s="14" t="str">
        <x:v>No PO required - office supplies</x:v>
      </x:c>
      <x:c r="F21" s="14" t="str">
        <x:v>Approve if admin confirms receipt.</x:v>
      </x:c>
      <x:c r="G21" s="28" t="n">
        <x:v>1133.13</x:v>
      </x:c>
      <x:c r="H21" s="28" t="n">
        <x:v>0</x:v>
      </x:c>
      <x:c r="I21" s="14" t="str"/>
    </x:row>
    <x:row r="22">
      <x:c r="A22" s="14" t="n">
        <x:v>21</x:v>
      </x:c>
      <x:c r="B22" s="14" t="str">
        <x:v>Potomac Steel Supply</x:v>
      </x:c>
      <x:c r="C22" s="14" t="str">
        <x:v>PSS-2601-001</x:v>
      </x:c>
      <x:c r="D22" s="28" t="n">
        <x:v>5700.3</x:v>
      </x:c>
      <x:c r="E22" s="14" t="str">
        <x:v>Duplicate invoice</x:v>
      </x:c>
      <x:c r="F22" s="14" t="str">
        <x:v>Do not enter again. Mark as duplicate of PSS-2601-001.</x:v>
      </x:c>
      <x:c r="G22" s="28" t="n">
        <x:v>5700.3</x:v>
      </x:c>
      <x:c r="H22" s="28" t="n">
        <x:v>0</x:v>
      </x:c>
      <x:c r="I22" s="14" t="str"/>
    </x:row>
    <x:row r="23">
      <x:c r="A23" s="14" t="n">
        <x:v>22</x:v>
      </x:c>
      <x:c r="B23" s="14" t="str">
        <x:v>Valley Freight Lines</x:v>
      </x:c>
      <x:c r="C23" s="14" t="str">
        <x:v>VFL-2601-010</x:v>
      </x:c>
      <x:c r="D23" s="28" t="n">
        <x:v>382.4</x:v>
      </x:c>
      <x:c r="E23" s="14" t="str">
        <x:v>Service invoice - no PO required</x:v>
      </x:c>
      <x:c r="F23" s="14" t="str">
        <x:v>Approve. Code to Freight/Shipping.</x:v>
      </x:c>
      <x:c r="G23" s="28" t="n">
        <x:v>382.4</x:v>
      </x:c>
      <x:c r="H23" s="28" t="n">
        <x:v>0</x:v>
      </x:c>
      <x:c r="I23" s="14" t="str"/>
    </x:row>
    <x:row r="24">
      <x:c r="A24" s="14" t="n">
        <x:v>23</x:v>
      </x:c>
      <x:c r="B24" s="14" t="str">
        <x:v>NOVA Packaging &amp; Crating</x:v>
      </x:c>
      <x:c r="C24" s="14" t="str">
        <x:v>NPC-2601-012</x:v>
      </x:c>
      <x:c r="D24" s="28" t="n">
        <x:v>729.98</x:v>
      </x:c>
      <x:c r="E24" s="14" t="str">
        <x:v>Price discrepancy</x:v>
      </x:c>
      <x:c r="F24" s="14" t="str">
        <x:v>Hold for price approval. PO shows foam inserts at $1.45 each.</x:v>
      </x:c>
      <x:c r="G24" s="28" t="n">
        <x:v>704.71</x:v>
      </x:c>
      <x:c r="H24" s="28" t="n">
        <x:v>25.27</x:v>
      </x:c>
      <x:c r="I24" s="14" t="str">
        <x:v>PO unit price for foam inserts is $1.45.</x:v>
      </x:c>
    </x:row>
    <x:row r="25">
      <x:c r="A25" s="14" t="n">
        <x:v>24</x:v>
      </x:c>
      <x:c r="B25" s="14" t="str">
        <x:v>Blue Ridge Industrial Plastics</x:v>
      </x:c>
      <x:c r="C25" s="14" t="str">
        <x:v>BRIP-2601-007</x:v>
      </x:c>
      <x:c r="D25" s="28" t="n">
        <x:v>1579.79</x:v>
      </x:c>
      <x:c r="E25" s="14" t="str">
        <x:v>Quantity discrepancy</x:v>
      </x:c>
      <x:c r="F25" s="14" t="str">
        <x:v>Hold or request corrected invoice. Receiving shows only 275 cable guard strips received.</x:v>
      </x:c>
      <x:c r="G25" s="28" t="n">
        <x:v>1524.51</x:v>
      </x:c>
      <x:c r="H25" s="28" t="n">
        <x:v>55.28</x:v>
      </x:c>
      <x:c r="I25" s="14" t="str">
        <x:v>Receiving report: 250 cap covers and 275 guard strips received.</x:v>
      </x:c>
    </x:row>
    <x:row r="26">
      <x:c r="A26" s="14" t="n">
        <x:v>25</x:v>
      </x:c>
      <x:c r="B26" s="14" t="str">
        <x:v>Dominion Aluminum &amp; Fasteners</x:v>
      </x:c>
      <x:c r="C26" s="14" t="str">
        <x:v>DAF-2601-015</x:v>
      </x:c>
      <x:c r="D26" s="28" t="n">
        <x:v>2604.67</x:v>
      </x:c>
      <x:c r="E26" s="14" t="str">
        <x:v>Quantity discrepancy</x:v>
      </x:c>
      <x:c r="F26" s="14" t="str">
        <x:v>Hold. Invoice bills 40 aluminum bars but receiving report shows 35.</x:v>
      </x:c>
      <x:c r="G26" s="28" t="n">
        <x:v>2432.24</x:v>
      </x:c>
      <x:c r="H26" s="28" t="n">
        <x:v>172.43</x:v>
      </x:c>
      <x:c r="I26" s="14" t="str">
        <x:v>Receiving report shows 35 aluminum angle bars.</x:v>
      </x:c>
    </x:row>
    <x:row r="27">
      <x:c r="A27" s="14" t="n">
        <x:v>26</x:v>
      </x:c>
      <x:c r="B27" s="14" t="str">
        <x:v>Potomac Steel Supply</x:v>
      </x:c>
      <x:c r="C27" s="14" t="str">
        <x:v>PSS-2601-003</x:v>
      </x:c>
      <x:c r="D27" s="28" t="n">
        <x:v>3353.24</x:v>
      </x:c>
      <x:c r="E27" s="14" t="str">
        <x:v>Missing PO number</x:v>
      </x:c>
      <x:c r="F27" s="14" t="str">
        <x:v>Hold for procurement approval because raw materials bill is over $500 and no PO is listed.</x:v>
      </x:c>
      <x:c r="G27" s="28" t="n">
        <x:v>3353.24</x:v>
      </x:c>
      <x:c r="H27" s="28" t="n">
        <x:v>0</x:v>
      </x:c>
      <x:c r="I27" s="14" t="str">
        <x:v>No PO number on invoice.</x:v>
      </x:c>
    </x:row>
    <x:row r="28">
      <x:c r="A28" s="14" t="n">
        <x:v>27</x:v>
      </x:c>
      <x:c r="B28" s="14" t="str">
        <x:v>Arlington Machine Parts</x:v>
      </x:c>
      <x:c r="C28" s="14" t="str">
        <x:v>AMP-2601-007</x:v>
      </x:c>
      <x:c r="D28" s="28" t="n">
        <x:v>1128.82</x:v>
      </x:c>
      <x:c r="E28" s="14" t="str">
        <x:v>Duplicate invoice</x:v>
      </x:c>
      <x:c r="F28" s="14" t="str">
        <x:v>Do not enter again. Mark as duplicate of AMP-2601-007.</x:v>
      </x:c>
      <x:c r="G28" s="28" t="n">
        <x:v>1128.82</x:v>
      </x:c>
      <x:c r="H28" s="28" t="n">
        <x:v>0</x:v>
      </x:c>
      <x:c r="I28" s="14" t="str"/>
    </x:row>
    <x:row r="29">
      <x:c r="A29" s="14" t="n">
        <x:v>28</x:v>
      </x:c>
      <x:c r="B29" s="14" t="str">
        <x:v>SecureGate Monitoring</x:v>
      </x:c>
      <x:c r="C29" s="14" t="str">
        <x:v>SGM-2601</x:v>
      </x:c>
      <x:c r="D29" s="28" t="n">
        <x:v>180</x:v>
      </x:c>
      <x:c r="E29" s="14" t="str">
        <x:v>Credit card autopay</x:v>
      </x:c>
      <x:c r="F29" s="14" t="str">
        <x:v>Record credit card charge to Security Monitoring.</x:v>
      </x:c>
      <x:c r="G29" s="28" t="n">
        <x:v>180</x:v>
      </x:c>
      <x:c r="H29" s="28" t="n">
        <x:v>0</x:v>
      </x:c>
      <x:c r="I29" s="14" t="str"/>
    </x:row>
    <x:row r="30">
      <x:c r="A30" s="14" t="n">
        <x:v>29</x:v>
      </x:c>
      <x:c r="B30" s="14" t="str">
        <x:v>NOVA Industrial Waste</x:v>
      </x:c>
      <x:c r="C30" s="14" t="str">
        <x:v>NIW-2601-01</x:v>
      </x:c>
      <x:c r="D30" s="28" t="n">
        <x:v>650</x:v>
      </x:c>
      <x:c r="E30" s="14" t="str">
        <x:v>Recurring factory expense</x:v>
      </x:c>
      <x:c r="F30" s="14" t="str">
        <x:v>Approve. Code to Waste Disposal / Factory Expense.</x:v>
      </x:c>
      <x:c r="G30" s="28" t="n">
        <x:v>650</x:v>
      </x:c>
      <x:c r="H30" s="28" t="n">
        <x:v>0</x:v>
      </x:c>
      <x:c r="I30" s="14" t="str"/>
    </x:row>
    <x:row r="31">
      <x:c r="A31" s="14" t="n">
        <x:v>30</x:v>
      </x:c>
      <x:c r="B31" s="14" t="str">
        <x:v>Commonwealth Powder Coating</x:v>
      </x:c>
      <x:c r="C31" s="14" t="str">
        <x:v>CPC-2601-003</x:v>
      </x:c>
      <x:c r="D31" s="28" t="n">
        <x:v>1716</x:v>
      </x:c>
      <x:c r="E31" s="14" t="str">
        <x:v>Unauthorized extra charge</x:v>
      </x:c>
      <x:c r="F31" s="14" t="str">
        <x:v>Hold rush handling fee for approval; enter base service only if approved by production manager.</x:v>
      </x:c>
      <x:c r="G31" s="28" t="n">
        <x:v>1566</x:v>
      </x:c>
      <x:c r="H31" s="28" t="n">
        <x:v>150</x:v>
      </x:c>
      <x:c r="I31" s="14" t="str">
        <x:v>PO did not include rush handling fee.</x:v>
      </x:c>
    </x:row>
  </x:sheetData>
  <x:conditionalFormatting sqref="E2:E31">
    <x:cfRule type="expression" dxfId="1" priority="1">
      <x:formula>OR(E2="Price discrepancy",E2="Quantity discrepancy",E2="Missing PO number",E2="Duplicate invoice",E2="Unauthorized extra charge")</x:formula>
    </x:cfRule>
  </x:conditionalFormatting>
  <x:pageMargins left="0.7" right="0.7" top="0.75" bottom="0.75" header="0.3" footer="0.3"/>
  <x:tableParts count="1">
    <x:tablePart xmlns:r="http://schemas.openxmlformats.org/officeDocument/2006/relationships" r:id="R6bfff7b5d59849d7"/>
  </x:tableParts>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FFCDA72B33F704B902DF05EFF11A127" ma:contentTypeVersion="12" ma:contentTypeDescription="Create a new document." ma:contentTypeScope="" ma:versionID="c6f9a1a39b749c0b35fc296ed518e8f3">
  <xsd:schema xmlns:xsd="http://www.w3.org/2001/XMLSchema" xmlns:xs="http://www.w3.org/2001/XMLSchema" xmlns:p="http://schemas.microsoft.com/office/2006/metadata/properties" xmlns:ns2="7019b7ea-2583-48d5-9dd7-5b4a847e7ee9" xmlns:ns3="27445e43-ccdd-4da6-b549-fdecb12a794f" targetNamespace="http://schemas.microsoft.com/office/2006/metadata/properties" ma:root="true" ma:fieldsID="45a2daf967dbe5b730172693d155efad" ns2:_="" ns3:_="">
    <xsd:import namespace="7019b7ea-2583-48d5-9dd7-5b4a847e7ee9"/>
    <xsd:import namespace="27445e43-ccdd-4da6-b549-fdecb12a794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19b7ea-2583-48d5-9dd7-5b4a847e7e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0f1de3d-d31a-4396-82d5-79995a55124e"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7445e43-ccdd-4da6-b549-fdecb12a794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ef456272-03e4-4335-84cf-9ee0017832c0}" ma:internalName="TaxCatchAll" ma:showField="CatchAllData" ma:web="27445e43-ccdd-4da6-b549-fdecb12a79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019b7ea-2583-48d5-9dd7-5b4a847e7ee9">
      <Terms xmlns="http://schemas.microsoft.com/office/infopath/2007/PartnerControls"/>
    </lcf76f155ced4ddcb4097134ff3c332f>
    <TaxCatchAll xmlns="27445e43-ccdd-4da6-b549-fdecb12a794f" xsi:nil="true"/>
  </documentManagement>
</p:properties>
</file>

<file path=customXml/itemProps1.xml><?xml version="1.0" encoding="utf-8"?>
<ds:datastoreItem xmlns:ds="http://schemas.openxmlformats.org/officeDocument/2006/customXml" ds:itemID="{8114293C-FFF7-477B-89A5-7C5B0E1460AB}"/>
</file>

<file path=customXml/itemProps2.xml><?xml version="1.0" encoding="utf-8"?>
<ds:datastoreItem xmlns:ds="http://schemas.openxmlformats.org/officeDocument/2006/customXml" ds:itemID="{972A1E89-7442-4CFE-A7C8-F0DCE0EDCECB}"/>
</file>

<file path=customXml/itemProps3.xml><?xml version="1.0" encoding="utf-8"?>
<ds:datastoreItem xmlns:ds="http://schemas.openxmlformats.org/officeDocument/2006/customXml" ds:itemID="{BEBD4CA2-1FA1-4D21-8543-750CDD400025}"/>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0x0101007FFCDA72B33F704B902DF05EFF11A127</vt:lpwstr>
  </property>
</Properties>
</file>