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akis\Documents\Claude\Skarion-LMS-work\Skarion-LMS\courses\accounting-track\03-core-accounting-practice\"/>
    </mc:Choice>
  </mc:AlternateContent>
  <xr:revisionPtr revIDLastSave="0" documentId="13_ncr:1_{029FA0B8-4AA6-48DA-ADD5-A0CA206DD27C}" xr6:coauthVersionLast="47" xr6:coauthVersionMax="47" xr10:uidLastSave="{00000000-0000-0000-0000-000000000000}"/>
  <bookViews>
    <workbookView xWindow="-110" yWindow="-110" windowWidth="38620" windowHeight="21100" xr2:uid="{00000000-000D-0000-FFFF-FFFF00000000}"/>
  </bookViews>
  <sheets>
    <sheet name="Instructions" sheetId="1" r:id="rId1"/>
    <sheet name="Customer Invoice Index" sheetId="2" r:id="rId2"/>
    <sheet name="Payment Remittance Batch" sheetId="3" r:id="rId3"/>
    <sheet name="Instructor Key" sheetId="4" r:id="rId4"/>
    <sheet name="AR Aging Snapsho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1" i="5" l="1"/>
  <c r="D41" i="5"/>
  <c r="H41" i="5" s="1"/>
  <c r="C41" i="5"/>
  <c r="F40" i="5"/>
  <c r="D40" i="5"/>
  <c r="H40" i="5" s="1"/>
  <c r="C40" i="5"/>
  <c r="F39" i="5"/>
  <c r="D39" i="5"/>
  <c r="H39" i="5" s="1"/>
  <c r="C39" i="5"/>
  <c r="F38" i="5"/>
  <c r="D38" i="5"/>
  <c r="H38" i="5" s="1"/>
  <c r="C38" i="5"/>
  <c r="F37" i="5"/>
  <c r="D37" i="5"/>
  <c r="H37" i="5" s="1"/>
  <c r="C37" i="5"/>
  <c r="F36" i="5"/>
  <c r="D36" i="5"/>
  <c r="H36" i="5" s="1"/>
  <c r="C36" i="5"/>
  <c r="F35" i="5"/>
  <c r="D35" i="5"/>
  <c r="H35" i="5" s="1"/>
  <c r="C35" i="5"/>
  <c r="F34" i="5"/>
  <c r="D34" i="5"/>
  <c r="H34" i="5" s="1"/>
  <c r="C34" i="5"/>
  <c r="F33" i="5"/>
  <c r="D33" i="5"/>
  <c r="H33" i="5" s="1"/>
  <c r="C33" i="5"/>
  <c r="F32" i="5"/>
  <c r="D32" i="5"/>
  <c r="H32" i="5" s="1"/>
  <c r="C32" i="5"/>
  <c r="F31" i="5"/>
  <c r="D31" i="5"/>
  <c r="H31" i="5" s="1"/>
  <c r="C31" i="5"/>
  <c r="F30" i="5"/>
  <c r="D30" i="5"/>
  <c r="H30" i="5" s="1"/>
  <c r="C30" i="5"/>
  <c r="F29" i="5"/>
  <c r="D29" i="5"/>
  <c r="H29" i="5" s="1"/>
  <c r="C29" i="5"/>
  <c r="F28" i="5"/>
  <c r="D28" i="5"/>
  <c r="H28" i="5" s="1"/>
  <c r="C28" i="5"/>
  <c r="F27" i="5"/>
  <c r="D27" i="5"/>
  <c r="H27" i="5" s="1"/>
  <c r="C27" i="5"/>
  <c r="H26" i="5"/>
  <c r="F26" i="5"/>
  <c r="D26" i="5"/>
  <c r="C26" i="5"/>
  <c r="F25" i="5"/>
  <c r="D25" i="5"/>
  <c r="H25" i="5" s="1"/>
  <c r="C25" i="5"/>
  <c r="H24" i="5"/>
  <c r="F24" i="5"/>
  <c r="D24" i="5"/>
  <c r="C24" i="5"/>
  <c r="F23" i="5"/>
  <c r="D23" i="5"/>
  <c r="H23" i="5" s="1"/>
  <c r="C23" i="5"/>
  <c r="F22" i="5"/>
  <c r="D22" i="5"/>
  <c r="H22" i="5" s="1"/>
  <c r="C22" i="5"/>
  <c r="F21" i="5"/>
  <c r="D21" i="5"/>
  <c r="H21" i="5" s="1"/>
  <c r="C21" i="5"/>
  <c r="F20" i="5"/>
  <c r="D20" i="5"/>
  <c r="H20" i="5" s="1"/>
  <c r="C20" i="5"/>
  <c r="F19" i="5"/>
  <c r="D19" i="5"/>
  <c r="H19" i="5" s="1"/>
  <c r="C19" i="5"/>
  <c r="F18" i="5"/>
  <c r="D18" i="5"/>
  <c r="H18" i="5" s="1"/>
  <c r="C18" i="5"/>
  <c r="H17" i="5"/>
  <c r="F17" i="5"/>
  <c r="D17" i="5"/>
  <c r="C17" i="5"/>
  <c r="O22" i="3"/>
  <c r="H21" i="3"/>
  <c r="G21" i="3"/>
  <c r="F21" i="3"/>
  <c r="J21" i="3" s="1"/>
  <c r="K21" i="3" s="1"/>
  <c r="L21" i="3" s="1"/>
  <c r="D21" i="3"/>
  <c r="C21" i="3"/>
  <c r="H20" i="3"/>
  <c r="G20" i="3"/>
  <c r="F20" i="3"/>
  <c r="J20" i="3" s="1"/>
  <c r="K20" i="3" s="1"/>
  <c r="L20" i="3" s="1"/>
  <c r="D20" i="3"/>
  <c r="C20" i="3"/>
  <c r="J19" i="3"/>
  <c r="H19" i="3"/>
  <c r="G19" i="3"/>
  <c r="F19" i="3"/>
  <c r="D19" i="3"/>
  <c r="C19" i="3"/>
  <c r="H18" i="3"/>
  <c r="G18" i="3"/>
  <c r="F18" i="3"/>
  <c r="J18" i="3" s="1"/>
  <c r="D18" i="3"/>
  <c r="C18" i="3"/>
  <c r="H17" i="3"/>
  <c r="G17" i="3"/>
  <c r="F17" i="3"/>
  <c r="J17" i="3" s="1"/>
  <c r="K17" i="3" s="1"/>
  <c r="L17" i="3" s="1"/>
  <c r="D17" i="3"/>
  <c r="C17" i="3"/>
  <c r="H16" i="3"/>
  <c r="G16" i="3"/>
  <c r="F16" i="3"/>
  <c r="J16" i="3" s="1"/>
  <c r="K16" i="3" s="1"/>
  <c r="L16" i="3" s="1"/>
  <c r="D16" i="3"/>
  <c r="C16" i="3"/>
  <c r="H15" i="3"/>
  <c r="G15" i="3"/>
  <c r="F15" i="3"/>
  <c r="J15" i="3" s="1"/>
  <c r="D15" i="3"/>
  <c r="C15" i="3"/>
  <c r="J14" i="3"/>
  <c r="H14" i="3"/>
  <c r="G14" i="3"/>
  <c r="F14" i="3"/>
  <c r="D14" i="3"/>
  <c r="C14" i="3"/>
  <c r="H13" i="3"/>
  <c r="G13" i="3"/>
  <c r="F13" i="3"/>
  <c r="J13" i="3" s="1"/>
  <c r="D13" i="3"/>
  <c r="C13" i="3"/>
  <c r="H12" i="3"/>
  <c r="G12" i="3"/>
  <c r="F12" i="3"/>
  <c r="J12" i="3" s="1"/>
  <c r="D12" i="3"/>
  <c r="C12" i="3"/>
  <c r="H11" i="3"/>
  <c r="G11" i="3"/>
  <c r="F11" i="3"/>
  <c r="J11" i="3" s="1"/>
  <c r="K11" i="3" s="1"/>
  <c r="L11" i="3" s="1"/>
  <c r="D11" i="3"/>
  <c r="C11" i="3"/>
  <c r="H10" i="3"/>
  <c r="G10" i="3"/>
  <c r="K10" i="3" s="1"/>
  <c r="L10" i="3" s="1"/>
  <c r="F10" i="3"/>
  <c r="J10" i="3" s="1"/>
  <c r="D10" i="3"/>
  <c r="C10" i="3"/>
  <c r="J9" i="3"/>
  <c r="H9" i="3"/>
  <c r="G9" i="3"/>
  <c r="K9" i="3" s="1"/>
  <c r="L9" i="3" s="1"/>
  <c r="F9" i="3"/>
  <c r="D9" i="3"/>
  <c r="C9" i="3"/>
  <c r="H8" i="3"/>
  <c r="G8" i="3"/>
  <c r="F8" i="3"/>
  <c r="J8" i="3" s="1"/>
  <c r="K8" i="3" s="1"/>
  <c r="L8" i="3" s="1"/>
  <c r="D8" i="3"/>
  <c r="C8" i="3"/>
  <c r="J7" i="3"/>
  <c r="H7" i="3"/>
  <c r="G7" i="3"/>
  <c r="F7" i="3"/>
  <c r="D7" i="3"/>
  <c r="C7" i="3"/>
  <c r="H6" i="3"/>
  <c r="G6" i="3"/>
  <c r="F6" i="3"/>
  <c r="J6" i="3" s="1"/>
  <c r="K6" i="3" s="1"/>
  <c r="L6" i="3" s="1"/>
  <c r="D6" i="3"/>
  <c r="C6" i="3"/>
  <c r="H5" i="3"/>
  <c r="G5" i="3"/>
  <c r="F5" i="3"/>
  <c r="J5" i="3" s="1"/>
  <c r="D5" i="3"/>
  <c r="C5" i="3"/>
  <c r="H4" i="3"/>
  <c r="G4" i="3"/>
  <c r="K4" i="3" s="1"/>
  <c r="L4" i="3" s="1"/>
  <c r="F4" i="3"/>
  <c r="J4" i="3" s="1"/>
  <c r="D4" i="3"/>
  <c r="C4" i="3"/>
  <c r="H3" i="3"/>
  <c r="G3" i="3"/>
  <c r="F3" i="3"/>
  <c r="J3" i="3" s="1"/>
  <c r="K3" i="3" s="1"/>
  <c r="L3" i="3" s="1"/>
  <c r="D3" i="3"/>
  <c r="C3" i="3"/>
  <c r="H2" i="3"/>
  <c r="G2" i="3"/>
  <c r="K2" i="3" s="1"/>
  <c r="L2" i="3" s="1"/>
  <c r="F2" i="3"/>
  <c r="J2" i="3" s="1"/>
  <c r="D2" i="3"/>
  <c r="C2" i="3"/>
  <c r="I27" i="2"/>
  <c r="J26" i="2"/>
  <c r="K26" i="2" s="1"/>
  <c r="E41" i="5" s="1"/>
  <c r="G41" i="5" s="1"/>
  <c r="I41" i="5" s="1"/>
  <c r="G26" i="2"/>
  <c r="J25" i="2"/>
  <c r="K25" i="2" s="1"/>
  <c r="G25" i="2"/>
  <c r="J24" i="2"/>
  <c r="K24" i="2" s="1"/>
  <c r="G24" i="2"/>
  <c r="J23" i="2"/>
  <c r="K23" i="2" s="1"/>
  <c r="G23" i="2"/>
  <c r="J22" i="2"/>
  <c r="K22" i="2" s="1"/>
  <c r="G22" i="2"/>
  <c r="J21" i="2"/>
  <c r="K21" i="2" s="1"/>
  <c r="G21" i="2"/>
  <c r="J20" i="2"/>
  <c r="K20" i="2" s="1"/>
  <c r="E35" i="5" s="1"/>
  <c r="G35" i="5" s="1"/>
  <c r="I35" i="5" s="1"/>
  <c r="G20" i="2"/>
  <c r="J19" i="2"/>
  <c r="K19" i="2" s="1"/>
  <c r="G19" i="2"/>
  <c r="J18" i="2"/>
  <c r="K18" i="2" s="1"/>
  <c r="G18" i="2"/>
  <c r="K17" i="2"/>
  <c r="E32" i="5" s="1"/>
  <c r="G32" i="5" s="1"/>
  <c r="I32" i="5" s="1"/>
  <c r="J17" i="2"/>
  <c r="G17" i="2"/>
  <c r="J16" i="2"/>
  <c r="K16" i="2" s="1"/>
  <c r="G16" i="2"/>
  <c r="J15" i="2"/>
  <c r="K15" i="2" s="1"/>
  <c r="G15" i="2"/>
  <c r="J14" i="2"/>
  <c r="K14" i="2" s="1"/>
  <c r="G14" i="2"/>
  <c r="J13" i="2"/>
  <c r="K13" i="2" s="1"/>
  <c r="G13" i="2"/>
  <c r="J12" i="2"/>
  <c r="K12" i="2" s="1"/>
  <c r="E27" i="5" s="1"/>
  <c r="G12" i="2"/>
  <c r="J11" i="2"/>
  <c r="K11" i="2" s="1"/>
  <c r="G11" i="2"/>
  <c r="J10" i="2"/>
  <c r="K10" i="2" s="1"/>
  <c r="E25" i="5" s="1"/>
  <c r="G25" i="5" s="1"/>
  <c r="I25" i="5" s="1"/>
  <c r="G10" i="2"/>
  <c r="J9" i="2"/>
  <c r="K9" i="2" s="1"/>
  <c r="G9" i="2"/>
  <c r="J8" i="2"/>
  <c r="K8" i="2" s="1"/>
  <c r="G8" i="2"/>
  <c r="J7" i="2"/>
  <c r="K7" i="2" s="1"/>
  <c r="E22" i="5" s="1"/>
  <c r="G22" i="5" s="1"/>
  <c r="I22" i="5" s="1"/>
  <c r="G7" i="2"/>
  <c r="J6" i="2"/>
  <c r="K6" i="2" s="1"/>
  <c r="G6" i="2"/>
  <c r="J5" i="2"/>
  <c r="K5" i="2" s="1"/>
  <c r="G5" i="2"/>
  <c r="J4" i="2"/>
  <c r="K4" i="2" s="1"/>
  <c r="I2" i="3" s="1"/>
  <c r="G4" i="2"/>
  <c r="J3" i="2"/>
  <c r="K3" i="2" s="1"/>
  <c r="G3" i="2"/>
  <c r="J2" i="2"/>
  <c r="G2" i="2"/>
  <c r="K5" i="3" l="1"/>
  <c r="L5" i="3" s="1"/>
  <c r="K19" i="3"/>
  <c r="L19" i="3" s="1"/>
  <c r="K14" i="3"/>
  <c r="L14" i="3" s="1"/>
  <c r="J27" i="2"/>
  <c r="G27" i="5"/>
  <c r="I27" i="5" s="1"/>
  <c r="K7" i="3"/>
  <c r="L7" i="3" s="1"/>
  <c r="E29" i="5"/>
  <c r="G29" i="5" s="1"/>
  <c r="I29" i="5" s="1"/>
  <c r="I8" i="3"/>
  <c r="N8" i="3" s="1"/>
  <c r="P8" i="3" s="1"/>
  <c r="E23" i="5"/>
  <c r="G23" i="5" s="1"/>
  <c r="I23" i="5" s="1"/>
  <c r="I5" i="3"/>
  <c r="N5" i="3" s="1"/>
  <c r="P5" i="3" s="1"/>
  <c r="I16" i="3"/>
  <c r="N16" i="3" s="1"/>
  <c r="P16" i="3" s="1"/>
  <c r="E31" i="5"/>
  <c r="G31" i="5" s="1"/>
  <c r="I31" i="5" s="1"/>
  <c r="K13" i="3"/>
  <c r="L13" i="3" s="1"/>
  <c r="E21" i="5"/>
  <c r="G21" i="5" s="1"/>
  <c r="I21" i="5" s="1"/>
  <c r="I14" i="3"/>
  <c r="N14" i="3" s="1"/>
  <c r="P14" i="3" s="1"/>
  <c r="I13" i="3"/>
  <c r="N13" i="3" s="1"/>
  <c r="P13" i="3" s="1"/>
  <c r="E18" i="5"/>
  <c r="G18" i="5" s="1"/>
  <c r="I18" i="5" s="1"/>
  <c r="E40" i="5"/>
  <c r="G40" i="5" s="1"/>
  <c r="I40" i="5" s="1"/>
  <c r="I21" i="3"/>
  <c r="N21" i="3" s="1"/>
  <c r="P21" i="3" s="1"/>
  <c r="I9" i="3"/>
  <c r="N9" i="3" s="1"/>
  <c r="P9" i="3" s="1"/>
  <c r="E30" i="5"/>
  <c r="G30" i="5" s="1"/>
  <c r="I30" i="5" s="1"/>
  <c r="I19" i="3"/>
  <c r="N19" i="3" s="1"/>
  <c r="P19" i="3" s="1"/>
  <c r="E36" i="5"/>
  <c r="G36" i="5" s="1"/>
  <c r="I36" i="5" s="1"/>
  <c r="K18" i="3"/>
  <c r="L18" i="3" s="1"/>
  <c r="I10" i="3"/>
  <c r="N10" i="3" s="1"/>
  <c r="P10" i="3" s="1"/>
  <c r="E34" i="5"/>
  <c r="G34" i="5" s="1"/>
  <c r="I34" i="5" s="1"/>
  <c r="K12" i="3"/>
  <c r="L12" i="3" s="1"/>
  <c r="K15" i="3"/>
  <c r="L15" i="3" s="1"/>
  <c r="E37" i="5"/>
  <c r="G37" i="5" s="1"/>
  <c r="I37" i="5" s="1"/>
  <c r="I20" i="3"/>
  <c r="N20" i="3" s="1"/>
  <c r="P20" i="3" s="1"/>
  <c r="I6" i="3"/>
  <c r="N6" i="3" s="1"/>
  <c r="P6" i="3" s="1"/>
  <c r="E26" i="5"/>
  <c r="G26" i="5" s="1"/>
  <c r="I26" i="5" s="1"/>
  <c r="N2" i="3"/>
  <c r="P2" i="3" s="1"/>
  <c r="E24" i="5"/>
  <c r="G24" i="5" s="1"/>
  <c r="I24" i="5" s="1"/>
  <c r="I15" i="3"/>
  <c r="E39" i="5"/>
  <c r="G39" i="5" s="1"/>
  <c r="I39" i="5" s="1"/>
  <c r="I11" i="3"/>
  <c r="N11" i="3" s="1"/>
  <c r="P11" i="3" s="1"/>
  <c r="E33" i="5"/>
  <c r="G33" i="5" s="1"/>
  <c r="I33" i="5" s="1"/>
  <c r="I18" i="3"/>
  <c r="I12" i="3"/>
  <c r="E38" i="5"/>
  <c r="G38" i="5" s="1"/>
  <c r="I38" i="5" s="1"/>
  <c r="I3" i="3"/>
  <c r="N3" i="3" s="1"/>
  <c r="P3" i="3" s="1"/>
  <c r="E20" i="5"/>
  <c r="G20" i="5" s="1"/>
  <c r="I20" i="5" s="1"/>
  <c r="I7" i="3"/>
  <c r="N7" i="3" s="1"/>
  <c r="P7" i="3" s="1"/>
  <c r="E28" i="5"/>
  <c r="G28" i="5" s="1"/>
  <c r="I28" i="5" s="1"/>
  <c r="E19" i="5"/>
  <c r="G19" i="5" s="1"/>
  <c r="I19" i="5" s="1"/>
  <c r="K2" i="2"/>
  <c r="I17" i="3"/>
  <c r="N17" i="3" s="1"/>
  <c r="P17" i="3" s="1"/>
  <c r="N15" i="3" l="1"/>
  <c r="P15" i="3" s="1"/>
  <c r="K27" i="2"/>
  <c r="I4" i="3"/>
  <c r="N4" i="3" s="1"/>
  <c r="P4" i="3" s="1"/>
  <c r="E17" i="5"/>
  <c r="G17" i="5" s="1"/>
  <c r="I17" i="5" s="1"/>
  <c r="N12" i="3"/>
  <c r="P12" i="3" s="1"/>
  <c r="N18" i="3"/>
  <c r="P18" i="3" s="1"/>
  <c r="P22" i="3" l="1"/>
  <c r="B11" i="5"/>
  <c r="B10" i="5"/>
  <c r="B9" i="5"/>
  <c r="B8" i="5"/>
  <c r="B12" i="5" l="1"/>
  <c r="B13" i="5" s="1"/>
</calcChain>
</file>

<file path=xl/sharedStrings.xml><?xml version="1.0" encoding="utf-8"?>
<sst xmlns="http://schemas.openxmlformats.org/spreadsheetml/2006/main" count="342" uniqueCount="196">
  <si>
    <t>Skarion Manufacturing LLC - AR &amp; Cash Application Practice Pack (January 2026)</t>
  </si>
  <si>
    <t>Purpose</t>
  </si>
  <si>
    <t>Use the 25 January 2026 customer invoices and the payment remittance batch to practice accounts receivable processing: sales invoicing, Virginia sales tax application, cash application, early-payment discounts, short-pay investigation, overpayment/credit memo handling, and AR aging.</t>
  </si>
  <si>
    <t>Student workflow</t>
  </si>
  <si>
    <t>1) Review each invoice in the Customer Invoice Index. 2) For each line in the Payment Remittance Batch, compare Amount Received to the formula-driven Expected Amount Due. 3) Decide whether to apply the payment in full, flag a short pay for investigation, confirm a valid early-payment discount, or record a credit memo / refund for an overpayment. 4) Use the AR Aging Snapshot to confirm open customer balances tie out to total open receivables.</t>
  </si>
  <si>
    <t>Early-payment discount rule</t>
  </si>
  <si>
    <t>Terms of 2/10 Net 30 earn a 2% discount ONLY if payment is received within 10 days of the invoice date. If a customer deducts the discount after the 10-day window has closed, do not accept it as a valid discount - flag the shortfall as a short pay and follow up.</t>
  </si>
  <si>
    <t>Tax rule</t>
  </si>
  <si>
    <t>Virginia sales tax is 5.3% and applies only to taxable, tangible-goods invoices. Invoices marked Taxable = No are services and carry no sales tax. Do not recalculate tax on invoices already marked exempt.</t>
  </si>
  <si>
    <t>Short-pay rule</t>
  </si>
  <si>
    <t>If Amount Received is less than the Expected Amount Due and the shortfall is not an approved discount, treat it as a short pay. Investigate the cause (pricing dispute, damaged goods, deduction taken in error) before adjusting the customer's account.</t>
  </si>
  <si>
    <t>Overpayment rule</t>
  </si>
  <si>
    <t>If Amount Received is more than the Expected Amount Due, do not simply leave the credit balance sitting on the account. Confirm the amount with the customer, then record a credit memo or process a refund.</t>
  </si>
  <si>
    <t>Credit memo rule</t>
  </si>
  <si>
    <t>A credit memo reduces the amount owed on the specific invoice it is applied against. It is not a cash receipt and should never be entered as one.</t>
  </si>
  <si>
    <t>Instructor note</t>
  </si>
  <si>
    <t>The Instructor Key sheet contains the expected answer for every short-pay, overpayment, improper-discount, and valid-discount case in the Payment Remittance Batch. Hide or remove that sheet before giving the workbook to students if needed.</t>
  </si>
  <si>
    <t>Seq</t>
  </si>
  <si>
    <t>Invoice #</t>
  </si>
  <si>
    <t>Customer</t>
  </si>
  <si>
    <t>Customer ID</t>
  </si>
  <si>
    <t>Invoice Date</t>
  </si>
  <si>
    <t>Terms</t>
  </si>
  <si>
    <t>Due Date</t>
  </si>
  <si>
    <t>Taxable?</t>
  </si>
  <si>
    <t>Subtotal</t>
  </si>
  <si>
    <t>Sales Tax</t>
  </si>
  <si>
    <t>Invoice Total</t>
  </si>
  <si>
    <t>Product / Service Description</t>
  </si>
  <si>
    <t>Student AR Coding Decision</t>
  </si>
  <si>
    <t>Student Notes</t>
  </si>
  <si>
    <t>VA Sales Tax Rate</t>
  </si>
  <si>
    <t>SMI-2601-001</t>
  </si>
  <si>
    <t>NOVA FiberBuild Contractors</t>
  </si>
  <si>
    <t>C-013</t>
  </si>
  <si>
    <t>Net 30</t>
  </si>
  <si>
    <t>Yes</t>
  </si>
  <si>
    <t>Fiber conduit hanger and bracket hardware</t>
  </si>
  <si>
    <t>SMI-2601-002</t>
  </si>
  <si>
    <t>Hampton Roads Data Centers</t>
  </si>
  <si>
    <t>C-015</t>
  </si>
  <si>
    <t>Net 45</t>
  </si>
  <si>
    <t>No</t>
  </si>
  <si>
    <t>On-site rack installation services</t>
  </si>
  <si>
    <t>SMI-2601-003</t>
  </si>
  <si>
    <t>Piedmont Electrical Group</t>
  </si>
  <si>
    <t>C-016</t>
  </si>
  <si>
    <t>2/10 Net 30</t>
  </si>
  <si>
    <t>Electrical enclosure hardware order</t>
  </si>
  <si>
    <t>SMI-2601-004</t>
  </si>
  <si>
    <t>Metro DC Low Voltage</t>
  </si>
  <si>
    <t>C-017</t>
  </si>
  <si>
    <t>Low-voltage mounting hardware</t>
  </si>
  <si>
    <t>SMI-2601-005</t>
  </si>
  <si>
    <t>Richmond Metro Fiber</t>
  </si>
  <si>
    <t>C-018</t>
  </si>
  <si>
    <t>Fiber vault hardware kit</t>
  </si>
  <si>
    <t>SMI-2601-006</t>
  </si>
  <si>
    <t>Dulles Cloud Campus LLC</t>
  </si>
  <si>
    <t>C-019</t>
  </si>
  <si>
    <t>Data center build-out consulting services</t>
  </si>
  <si>
    <t>SMI-2601-007</t>
  </si>
  <si>
    <t>Coastal Electric &amp; Controls</t>
  </si>
  <si>
    <t>C-014</t>
  </si>
  <si>
    <t>Control panel hardware order</t>
  </si>
  <si>
    <t>SMI-2601-008</t>
  </si>
  <si>
    <t>Cavalier Controls Inc.</t>
  </si>
  <si>
    <t>C-020</t>
  </si>
  <si>
    <t>Panel mounting hardware</t>
  </si>
  <si>
    <t>SMI-2601-009</t>
  </si>
  <si>
    <t>Shenandoah Energy Services</t>
  </si>
  <si>
    <t>C-021</t>
  </si>
  <si>
    <t>Field engineering services</t>
  </si>
  <si>
    <t>SMI-2601-010</t>
  </si>
  <si>
    <t>Patriot Network Solutions</t>
  </si>
  <si>
    <t>C-022</t>
  </si>
  <si>
    <t>Network cabinet hardware</t>
  </si>
  <si>
    <t>SMI-2601-011</t>
  </si>
  <si>
    <t>Chesapeake Municipal Works</t>
  </si>
  <si>
    <t>C-023</t>
  </si>
  <si>
    <t>Municipal facility consulting services</t>
  </si>
  <si>
    <t>SMI-2601-012</t>
  </si>
  <si>
    <t>Manassas Telecom Services</t>
  </si>
  <si>
    <t>C-024</t>
  </si>
  <si>
    <t>Telecom enclosure hardware</t>
  </si>
  <si>
    <t>SMI-2601-013</t>
  </si>
  <si>
    <t>Blue Ridge Retail Fixtures</t>
  </si>
  <si>
    <t>C-001</t>
  </si>
  <si>
    <t>Retail display fixture hardware order</t>
  </si>
  <si>
    <t>SMI-2601-014</t>
  </si>
  <si>
    <t>Shenandoah Builders</t>
  </si>
  <si>
    <t>C-002</t>
  </si>
  <si>
    <t>Structural steel brackets and fasteners</t>
  </si>
  <si>
    <t>SMI-2601-015</t>
  </si>
  <si>
    <t>Cardinal HVAC</t>
  </si>
  <si>
    <t>C-003</t>
  </si>
  <si>
    <t>Net 15</t>
  </si>
  <si>
    <t>Custom sheet metal ductwork components</t>
  </si>
  <si>
    <t>SMI-2601-016</t>
  </si>
  <si>
    <t>Coastal Supply Co.</t>
  </si>
  <si>
    <t>C-004</t>
  </si>
  <si>
    <t>Bulk distribution hardware kit</t>
  </si>
  <si>
    <t>SMI-2601-017</t>
  </si>
  <si>
    <t>Metro Equipment</t>
  </si>
  <si>
    <t>C-005</t>
  </si>
  <si>
    <t>Equipment mounting brackets</t>
  </si>
  <si>
    <t>SMI-2601-018</t>
  </si>
  <si>
    <t>Old Dominion Components</t>
  </si>
  <si>
    <t>C-006</t>
  </si>
  <si>
    <t>Precision machined components batch</t>
  </si>
  <si>
    <t>SMI-2601-019</t>
  </si>
  <si>
    <t>Potomac Builders</t>
  </si>
  <si>
    <t>C-007</t>
  </si>
  <si>
    <t>Custom metal railing and hardware</t>
  </si>
  <si>
    <t>SMI-2601-020</t>
  </si>
  <si>
    <t>Harbor Fixtures</t>
  </si>
  <si>
    <t>C-008</t>
  </si>
  <si>
    <t>Display fixture components</t>
  </si>
  <si>
    <t>SMI-2601-021</t>
  </si>
  <si>
    <t>Summit Contractors</t>
  </si>
  <si>
    <t>C-009</t>
  </si>
  <si>
    <t>On-site installation and consulting services</t>
  </si>
  <si>
    <t>SMI-2601-022</t>
  </si>
  <si>
    <t>Virginia Transit Parts</t>
  </si>
  <si>
    <t>C-010</t>
  </si>
  <si>
    <t>Transit rail mounting hardware</t>
  </si>
  <si>
    <t>SMI-2601-023</t>
  </si>
  <si>
    <t>Appalachian Retail Group</t>
  </si>
  <si>
    <t>C-011</t>
  </si>
  <si>
    <t>Retail shelving hardware order</t>
  </si>
  <si>
    <t>SMI-2601-024</t>
  </si>
  <si>
    <t>Chesapeake Fabricators</t>
  </si>
  <si>
    <t>C-012</t>
  </si>
  <si>
    <t>Engineering design and fabrication consulting</t>
  </si>
  <si>
    <t>SMI-2601-025</t>
  </si>
  <si>
    <t>Fiber conduit mounting hardware, second order</t>
  </si>
  <si>
    <t>TOTALS</t>
  </si>
  <si>
    <t>Payment Date</t>
  </si>
  <si>
    <t>Invoice Applied</t>
  </si>
  <si>
    <t>Days to Pay</t>
  </si>
  <si>
    <t>Discount Eligible?</t>
  </si>
  <si>
    <t>Discount Amount</t>
  </si>
  <si>
    <t>Credit Memo Applied</t>
  </si>
  <si>
    <t>Expected Amount Due</t>
  </si>
  <si>
    <t>Amount Received</t>
  </si>
  <si>
    <t>Variance</t>
  </si>
  <si>
    <t>Student Action Required</t>
  </si>
  <si>
    <t>Discount taken correctly</t>
  </si>
  <si>
    <t>Full payment, on time</t>
  </si>
  <si>
    <t>SHORT PAY - partial, customer disputes balance</t>
  </si>
  <si>
    <t>SHORT PAY - small variance</t>
  </si>
  <si>
    <t>Paid after credit memo CM-2601-001 applied</t>
  </si>
  <si>
    <t>OVERPAYMENT</t>
  </si>
  <si>
    <t>IMPROPER DISCOUNT - paid outside 10-day window but deducted 2% anyway</t>
  </si>
  <si>
    <t>SHORT PAY - damaged parts dispute</t>
  </si>
  <si>
    <t>Full payment, paid after due date</t>
  </si>
  <si>
    <t>Issue Type</t>
  </si>
  <si>
    <t>Expected Student Action</t>
  </si>
  <si>
    <t>Notes</t>
  </si>
  <si>
    <t>Valid early-payment discount</t>
  </si>
  <si>
    <t>No action needed. Payment received 5 days after invoice, within the 10-day window. Apply the $232.00 discount and close the invoice.</t>
  </si>
  <si>
    <t>2% of $11,600.00 subtotal = $232.00; tax is not discounted.</t>
  </si>
  <si>
    <t>No action needed. Payment received on day 10, within the window. Apply the $184.00 discount and close the invoice.</t>
  </si>
  <si>
    <t>2% of $9,200.00 subtotal = $184.00.</t>
  </si>
  <si>
    <t>No action needed. Payment received 8 days after invoice, within the window. Apply the $284.00 discount and close the invoice.</t>
  </si>
  <si>
    <t>2% of $14,200.00 subtotal = $284.00.</t>
  </si>
  <si>
    <t>No action needed. Payment received 6 days after invoice, within the window. Apply the $152.00 discount and close the invoice.</t>
  </si>
  <si>
    <t>2% of $7,600.00 subtotal = $152.00.</t>
  </si>
  <si>
    <t>Improper discount taken</t>
  </si>
  <si>
    <t>Do not accept the deduction. Payment arrived 16 days after the invoice, outside the 10-day window, so the $166.00 discount was not earned. Bill the customer for the $166.00 difference.</t>
  </si>
  <si>
    <t>2/10 Net 30 terms; customer took the 2% discount late.</t>
  </si>
  <si>
    <t>Short pay - disputed balance</t>
  </si>
  <si>
    <t>Investigate before adjusting the account. Contact the customer about the $8,058.25 unpaid balance; do not write it off without a documented reason.</t>
  </si>
  <si>
    <t>Customer sent a partial payment with no discount terms on this invoice; reason for the shortfall is undocumented.</t>
  </si>
  <si>
    <t>Short pay - small variance</t>
  </si>
  <si>
    <t>Investigate before adjusting the account. Contact the customer about the $55.80 shortfall; likely a minor billing dispute or rounding error on their end.</t>
  </si>
  <si>
    <t>No discount terms apply to this Net 30 invoice.</t>
  </si>
  <si>
    <t>Short pay - damaged goods dispute</t>
  </si>
  <si>
    <t>Investigate before adjusting the account. Customer is disputing $519.75 of the invoice for damaged parts; request documentation (photos, RMA) before issuing any credit.</t>
  </si>
  <si>
    <t>Overpayment</t>
  </si>
  <si>
    <t>Confirm the overpayment with the customer, then record a credit memo for $180.60 or process a refund. Do not leave the credit balance unresolved on the account.</t>
  </si>
  <si>
    <t>Customer remitted $180.60 more than the invoice total; cause unconfirmed.</t>
  </si>
  <si>
    <t>AR Aging Snapshot - As of January 31, 2026</t>
  </si>
  <si>
    <t>As-of Date</t>
  </si>
  <si>
    <t>Note: this snapshot covers only the 25 invoices in the Customer Invoice Index below (Jan 2026). Opening AR carried from December is tracked separately in the Module 03 Practice Exercise and is not included here, so every open balance is 30 days old or newer.</t>
  </si>
  <si>
    <t>Aging Bucket</t>
  </si>
  <si>
    <t>Open AR Amount</t>
  </si>
  <si>
    <t>Current (0-30 days)</t>
  </si>
  <si>
    <t>31-60 days</t>
  </si>
  <si>
    <t>61-90 days</t>
  </si>
  <si>
    <t>90+ days</t>
  </si>
  <si>
    <t>Total Open AR</t>
  </si>
  <si>
    <t>Tie-out check (Summary = Detail)</t>
  </si>
  <si>
    <t>Amount Applied (Cash + Credit Memo)</t>
  </si>
  <si>
    <t>Open Balance</t>
  </si>
  <si>
    <t>Days Outstanding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</si>
</sst>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6" formatCode="\$#,##0.00"/>
  </numFmts>
  <fonts count="6" x14ac:knownFonts="1">
    <font>
      <sz val="11"/>
      <color theme="1"/>
      <name val="Calibri"/>
      <family val="2"/>
      <scheme val="minor"/>
    </font>
    <font>
      <b/>
      <sz val="14"/>
      <color rgb="FFFFFFFF"/>
      <name val="Calibri"/>
    </font>
    <font>
      <b/>
      <sz val="11"/>
      <name val="Calibri"/>
    </font>
    <font>
      <sz val="11"/>
      <name val="Calibri"/>
    </font>
    <font>
      <b/>
      <sz val="11"/>
      <color rgb="FFFFFFFF"/>
      <name val="Calibri"/>
    </font>
    <font>
      <i/>
      <sz val="9"/>
      <color rgb="FF595959"/>
      <name val="Calibri"/>
    </font>
  </fonts>
  <fills count="4">
    <fill>
      <patternFill patternType="none"/>
    </fill>
    <fill>
      <patternFill patternType="gray125"/>
    </fill>
    <fill>
      <patternFill patternType="solid">
        <fgColor rgb="FF1F4E79"/>
      </patternFill>
    </fill>
    <fill>
      <patternFill patternType="solid">
        <f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2" fillId="0" borderId="0" xfId="0" applyFont="1" applyAlignment="1">
      <alignment horizontal="left" vertical="top" wrapText="1"/>
    </xf>
    <xf numFmtId="0" fontId="3" fillId="0" borderId="0" xfId="0" applyFont="1" applyAlignment="1">
      <alignment horizontal="left" vertical="top" wrapText="1"/>
    </xf>
    <xf numFmtId="0" fontId="4" fillId="2" borderId="0" xfId="0" applyFont="1" applyFill="1" applyAlignment="1">
      <alignment horizontal="center" vertical="center" wrapText="1"/>
    </xf>
    <xf numFmtId="0" fontId="2" fillId="0" borderId="0" xfId="0" applyFont="1" applyAlignment="1">
      <alignment horizontal="right"/>
    </xf>
    <xf numFmtId="164" fontId="3" fillId="3" borderId="0" xfId="0" applyNumberFormat="1" applyFont="1" applyFill="1"/>
    <xf numFmtId="0" fontId="3" fillId="0" borderId="1" xfId="0" applyFont="1" applyBorder="1"/>
    <xf numFmtId="14" fontId="3" fillId="0" borderId="1" xfId="0" applyNumberFormat="1" applyFont="1" applyBorder="1"/>
    <xf numFmtId="166" fontId="3" fillId="0" borderId="1" xfId="0" applyNumberFormat="1" applyFont="1" applyBorder="1"/>
    <xf numFmtId="0" fontId="2" fillId="0" borderId="0" xfId="0" applyFont="1"/>
    <xf numFmtId="166" fontId="2" fillId="0" borderId="0" xfId="0" applyNumberFormat="1" applyFont="1"/>
    <xf numFmtId="0" fontId="3" fillId="0" borderId="1" xfId="0" applyFont="1" applyBorder="1" applyAlignment="1">
      <alignment vertical="top"/>
    </xf>
    <xf numFmtId="166" fontId="3" fillId="0" borderId="1" xfId="0" applyNumberFormat="1" applyFont="1" applyBorder="1" applyAlignment="1">
      <alignment vertical="top"/>
    </xf>
    <xf numFmtId="0" fontId="3" fillId="0" borderId="1" xfId="0" applyFont="1" applyBorder="1" applyAlignment="1">
      <alignment horizontal="left" vertical="top" wrapText="1"/>
    </xf>
    <xf numFmtId="14" fontId="3" fillId="3" borderId="0" xfId="0" applyNumberFormat="1" applyFont="1" applyFill="1"/>
    <xf numFmtId="0" fontId="3" fillId="0" borderId="0" xfId="0" applyFont="1"/>
    <xf numFmtId="166" fontId="0" fillId="0" borderId="0" xfId="0" applyNumberFormat="1"/>
    <xf numFmtId="0" fontId="1" fillId="2" borderId="0" xfId="0" applyFont="1" applyFill="1" applyAlignment="1">
      <alignment horizontal="center" vertical="center" wrapText="1"/>
    </xf>
    <xf numFmtId="0" fontId="0" fillId="0" borderId="0" xfId="0"/>
    <xf numFmtId="0" fontId="5"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tabSelected="1" workbookViewId="0">
      <selection sqref="A1:B1"/>
    </sheetView>
  </sheetViews>
  <sheetFormatPr defaultRowHeight="14.5" x14ac:dyDescent="0.35"/>
  <cols>
    <col min="1" max="1" width="22" customWidth="1"/>
    <col min="2" max="2" width="100" customWidth="1"/>
  </cols>
  <sheetData>
    <row r="1" spans="1:2" ht="30" customHeight="1" x14ac:dyDescent="0.35">
      <c r="A1" s="17" t="s">
        <v>0</v>
      </c>
      <c r="B1" s="18"/>
    </row>
    <row r="2" spans="1:2" ht="45" customHeight="1" x14ac:dyDescent="0.35">
      <c r="A2" s="1" t="s">
        <v>1</v>
      </c>
      <c r="B2" s="2" t="s">
        <v>2</v>
      </c>
    </row>
    <row r="3" spans="1:2" ht="45" customHeight="1" x14ac:dyDescent="0.35">
      <c r="A3" s="1" t="s">
        <v>3</v>
      </c>
      <c r="B3" s="2" t="s">
        <v>4</v>
      </c>
    </row>
    <row r="4" spans="1:2" ht="45" customHeight="1" x14ac:dyDescent="0.35">
      <c r="A4" s="1" t="s">
        <v>5</v>
      </c>
      <c r="B4" s="2" t="s">
        <v>6</v>
      </c>
    </row>
    <row r="5" spans="1:2" ht="45" customHeight="1" x14ac:dyDescent="0.35">
      <c r="A5" s="1" t="s">
        <v>7</v>
      </c>
      <c r="B5" s="2" t="s">
        <v>8</v>
      </c>
    </row>
    <row r="6" spans="1:2" ht="45" customHeight="1" x14ac:dyDescent="0.35">
      <c r="A6" s="1" t="s">
        <v>9</v>
      </c>
      <c r="B6" s="2" t="s">
        <v>10</v>
      </c>
    </row>
    <row r="7" spans="1:2" ht="45" customHeight="1" x14ac:dyDescent="0.35">
      <c r="A7" s="1" t="s">
        <v>11</v>
      </c>
      <c r="B7" s="2" t="s">
        <v>12</v>
      </c>
    </row>
    <row r="8" spans="1:2" ht="45" customHeight="1" x14ac:dyDescent="0.35">
      <c r="A8" s="1" t="s">
        <v>13</v>
      </c>
      <c r="B8" s="2" t="s">
        <v>14</v>
      </c>
    </row>
    <row r="9" spans="1:2" ht="45" customHeight="1" x14ac:dyDescent="0.35">
      <c r="A9" s="1" t="s">
        <v>15</v>
      </c>
      <c r="B9" s="2" t="s">
        <v>16</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7"/>
  <sheetViews>
    <sheetView workbookViewId="0">
      <pane ySplit="1" topLeftCell="A2" activePane="bottomLeft" state="frozen"/>
      <selection pane="bottomLeft"/>
    </sheetView>
  </sheetViews>
  <sheetFormatPr defaultRowHeight="14.5" x14ac:dyDescent="0.35"/>
  <cols>
    <col min="1" max="1" width="6" customWidth="1"/>
    <col min="2" max="2" width="15" customWidth="1"/>
    <col min="3" max="3" width="28" customWidth="1"/>
    <col min="4" max="4" width="11" customWidth="1"/>
    <col min="5" max="5" width="12" customWidth="1"/>
    <col min="6" max="6" width="13" customWidth="1"/>
    <col min="7" max="7" width="12" customWidth="1"/>
    <col min="8" max="8" width="9" customWidth="1"/>
    <col min="9" max="9" width="12" customWidth="1"/>
    <col min="10" max="10" width="11" customWidth="1"/>
    <col min="11" max="11" width="12" customWidth="1"/>
    <col min="12" max="12" width="34" customWidth="1"/>
    <col min="13" max="14" width="24" customWidth="1"/>
    <col min="16" max="16" width="16" customWidth="1"/>
    <col min="17" max="17" width="10" customWidth="1"/>
  </cols>
  <sheetData>
    <row r="1" spans="1:17" ht="29" x14ac:dyDescent="0.35">
      <c r="A1" s="3" t="s">
        <v>17</v>
      </c>
      <c r="B1" s="3" t="s">
        <v>18</v>
      </c>
      <c r="C1" s="3" t="s">
        <v>19</v>
      </c>
      <c r="D1" s="3" t="s">
        <v>20</v>
      </c>
      <c r="E1" s="3" t="s">
        <v>21</v>
      </c>
      <c r="F1" s="3" t="s">
        <v>22</v>
      </c>
      <c r="G1" s="3" t="s">
        <v>23</v>
      </c>
      <c r="H1" s="3" t="s">
        <v>24</v>
      </c>
      <c r="I1" s="3" t="s">
        <v>25</v>
      </c>
      <c r="J1" s="3" t="s">
        <v>26</v>
      </c>
      <c r="K1" s="3" t="s">
        <v>27</v>
      </c>
      <c r="L1" s="3" t="s">
        <v>28</v>
      </c>
      <c r="M1" s="3" t="s">
        <v>29</v>
      </c>
      <c r="N1" s="3" t="s">
        <v>30</v>
      </c>
      <c r="P1" s="4" t="s">
        <v>31</v>
      </c>
      <c r="Q1" s="5">
        <v>5.2999999999999999E-2</v>
      </c>
    </row>
    <row r="2" spans="1:17" x14ac:dyDescent="0.35">
      <c r="A2" s="6">
        <v>1</v>
      </c>
      <c r="B2" s="6" t="s">
        <v>32</v>
      </c>
      <c r="C2" s="6" t="s">
        <v>33</v>
      </c>
      <c r="D2" s="6" t="s">
        <v>34</v>
      </c>
      <c r="E2" s="7">
        <v>46025</v>
      </c>
      <c r="F2" s="6" t="s">
        <v>35</v>
      </c>
      <c r="G2" s="7">
        <f t="shared" ref="G2:G26" si="0">IF(F2="Net 15",E2+15,E2+30)</f>
        <v>46055</v>
      </c>
      <c r="H2" s="6" t="s">
        <v>36</v>
      </c>
      <c r="I2" s="8">
        <v>15250</v>
      </c>
      <c r="J2" s="8">
        <f t="shared" ref="J2:J26" si="1">IF(H2="Yes",ROUND(I2*$Q$1,2),0)</f>
        <v>808.25</v>
      </c>
      <c r="K2" s="8">
        <f t="shared" ref="K2:K26" si="2">I2+J2</f>
        <v>16058.25</v>
      </c>
      <c r="L2" s="6" t="s">
        <v>37</v>
      </c>
      <c r="M2" s="6"/>
      <c r="N2" s="6"/>
    </row>
    <row r="3" spans="1:17" x14ac:dyDescent="0.35">
      <c r="A3" s="6">
        <v>2</v>
      </c>
      <c r="B3" s="6" t="s">
        <v>38</v>
      </c>
      <c r="C3" s="6" t="s">
        <v>39</v>
      </c>
      <c r="D3" s="6" t="s">
        <v>40</v>
      </c>
      <c r="E3" s="7">
        <v>46027</v>
      </c>
      <c r="F3" s="6" t="s">
        <v>41</v>
      </c>
      <c r="G3" s="7">
        <f t="shared" si="0"/>
        <v>46057</v>
      </c>
      <c r="H3" s="6" t="s">
        <v>42</v>
      </c>
      <c r="I3" s="8">
        <v>22800</v>
      </c>
      <c r="J3" s="8">
        <f t="shared" si="1"/>
        <v>0</v>
      </c>
      <c r="K3" s="8">
        <f t="shared" si="2"/>
        <v>22800</v>
      </c>
      <c r="L3" s="6" t="s">
        <v>43</v>
      </c>
      <c r="M3" s="6"/>
      <c r="N3" s="6"/>
    </row>
    <row r="4" spans="1:17" x14ac:dyDescent="0.35">
      <c r="A4" s="6">
        <v>3</v>
      </c>
      <c r="B4" s="6" t="s">
        <v>44</v>
      </c>
      <c r="C4" s="6" t="s">
        <v>45</v>
      </c>
      <c r="D4" s="6" t="s">
        <v>46</v>
      </c>
      <c r="E4" s="7">
        <v>46029</v>
      </c>
      <c r="F4" s="6" t="s">
        <v>47</v>
      </c>
      <c r="G4" s="7">
        <f t="shared" si="0"/>
        <v>46059</v>
      </c>
      <c r="H4" s="6" t="s">
        <v>36</v>
      </c>
      <c r="I4" s="8">
        <v>11600</v>
      </c>
      <c r="J4" s="8">
        <f t="shared" si="1"/>
        <v>614.79999999999995</v>
      </c>
      <c r="K4" s="8">
        <f t="shared" si="2"/>
        <v>12214.8</v>
      </c>
      <c r="L4" s="6" t="s">
        <v>48</v>
      </c>
      <c r="M4" s="6"/>
      <c r="N4" s="6"/>
    </row>
    <row r="5" spans="1:17" x14ac:dyDescent="0.35">
      <c r="A5" s="6">
        <v>4</v>
      </c>
      <c r="B5" s="6" t="s">
        <v>49</v>
      </c>
      <c r="C5" s="6" t="s">
        <v>50</v>
      </c>
      <c r="D5" s="6" t="s">
        <v>51</v>
      </c>
      <c r="E5" s="7">
        <v>46030</v>
      </c>
      <c r="F5" s="6" t="s">
        <v>35</v>
      </c>
      <c r="G5" s="7">
        <f t="shared" si="0"/>
        <v>46060</v>
      </c>
      <c r="H5" s="6" t="s">
        <v>36</v>
      </c>
      <c r="I5" s="8">
        <v>7950</v>
      </c>
      <c r="J5" s="8">
        <f t="shared" si="1"/>
        <v>421.35</v>
      </c>
      <c r="K5" s="8">
        <f t="shared" si="2"/>
        <v>8371.35</v>
      </c>
      <c r="L5" s="6" t="s">
        <v>52</v>
      </c>
      <c r="M5" s="6"/>
      <c r="N5" s="6"/>
    </row>
    <row r="6" spans="1:17" x14ac:dyDescent="0.35">
      <c r="A6" s="6">
        <v>5</v>
      </c>
      <c r="B6" s="6" t="s">
        <v>53</v>
      </c>
      <c r="C6" s="6" t="s">
        <v>54</v>
      </c>
      <c r="D6" s="6" t="s">
        <v>55</v>
      </c>
      <c r="E6" s="7">
        <v>46032</v>
      </c>
      <c r="F6" s="6" t="s">
        <v>35</v>
      </c>
      <c r="G6" s="7">
        <f t="shared" si="0"/>
        <v>46062</v>
      </c>
      <c r="H6" s="6" t="s">
        <v>36</v>
      </c>
      <c r="I6" s="8">
        <v>18400</v>
      </c>
      <c r="J6" s="8">
        <f t="shared" si="1"/>
        <v>975.2</v>
      </c>
      <c r="K6" s="8">
        <f t="shared" si="2"/>
        <v>19375.2</v>
      </c>
      <c r="L6" s="6" t="s">
        <v>56</v>
      </c>
      <c r="M6" s="6"/>
      <c r="N6" s="6"/>
    </row>
    <row r="7" spans="1:17" x14ac:dyDescent="0.35">
      <c r="A7" s="6">
        <v>6</v>
      </c>
      <c r="B7" s="6" t="s">
        <v>57</v>
      </c>
      <c r="C7" s="6" t="s">
        <v>58</v>
      </c>
      <c r="D7" s="6" t="s">
        <v>59</v>
      </c>
      <c r="E7" s="7">
        <v>46034</v>
      </c>
      <c r="F7" s="6" t="s">
        <v>41</v>
      </c>
      <c r="G7" s="7">
        <f t="shared" si="0"/>
        <v>46064</v>
      </c>
      <c r="H7" s="6" t="s">
        <v>42</v>
      </c>
      <c r="I7" s="8">
        <v>25500</v>
      </c>
      <c r="J7" s="8">
        <f t="shared" si="1"/>
        <v>0</v>
      </c>
      <c r="K7" s="8">
        <f t="shared" si="2"/>
        <v>25500</v>
      </c>
      <c r="L7" s="6" t="s">
        <v>60</v>
      </c>
      <c r="M7" s="6"/>
      <c r="N7" s="6"/>
    </row>
    <row r="8" spans="1:17" x14ac:dyDescent="0.35">
      <c r="A8" s="6">
        <v>7</v>
      </c>
      <c r="B8" s="6" t="s">
        <v>61</v>
      </c>
      <c r="C8" s="6" t="s">
        <v>62</v>
      </c>
      <c r="D8" s="6" t="s">
        <v>63</v>
      </c>
      <c r="E8" s="7">
        <v>46039</v>
      </c>
      <c r="F8" s="6" t="s">
        <v>47</v>
      </c>
      <c r="G8" s="7">
        <f t="shared" si="0"/>
        <v>46069</v>
      </c>
      <c r="H8" s="6" t="s">
        <v>36</v>
      </c>
      <c r="I8" s="8">
        <v>9200</v>
      </c>
      <c r="J8" s="8">
        <f t="shared" si="1"/>
        <v>487.6</v>
      </c>
      <c r="K8" s="8">
        <f t="shared" si="2"/>
        <v>9687.6</v>
      </c>
      <c r="L8" s="6" t="s">
        <v>64</v>
      </c>
      <c r="M8" s="6"/>
      <c r="N8" s="6"/>
    </row>
    <row r="9" spans="1:17" x14ac:dyDescent="0.35">
      <c r="A9" s="6">
        <v>8</v>
      </c>
      <c r="B9" s="6" t="s">
        <v>65</v>
      </c>
      <c r="C9" s="6" t="s">
        <v>66</v>
      </c>
      <c r="D9" s="6" t="s">
        <v>67</v>
      </c>
      <c r="E9" s="7">
        <v>46040</v>
      </c>
      <c r="F9" s="6" t="s">
        <v>35</v>
      </c>
      <c r="G9" s="7">
        <f t="shared" si="0"/>
        <v>46070</v>
      </c>
      <c r="H9" s="6" t="s">
        <v>36</v>
      </c>
      <c r="I9" s="8">
        <v>13750</v>
      </c>
      <c r="J9" s="8">
        <f t="shared" si="1"/>
        <v>728.75</v>
      </c>
      <c r="K9" s="8">
        <f t="shared" si="2"/>
        <v>14478.75</v>
      </c>
      <c r="L9" s="6" t="s">
        <v>68</v>
      </c>
      <c r="M9" s="6"/>
      <c r="N9" s="6"/>
    </row>
    <row r="10" spans="1:17" x14ac:dyDescent="0.35">
      <c r="A10" s="6">
        <v>9</v>
      </c>
      <c r="B10" s="6" t="s">
        <v>69</v>
      </c>
      <c r="C10" s="6" t="s">
        <v>70</v>
      </c>
      <c r="D10" s="6" t="s">
        <v>71</v>
      </c>
      <c r="E10" s="7">
        <v>46042</v>
      </c>
      <c r="F10" s="6" t="s">
        <v>41</v>
      </c>
      <c r="G10" s="7">
        <f t="shared" si="0"/>
        <v>46072</v>
      </c>
      <c r="H10" s="6" t="s">
        <v>42</v>
      </c>
      <c r="I10" s="8">
        <v>16100</v>
      </c>
      <c r="J10" s="8">
        <f t="shared" si="1"/>
        <v>0</v>
      </c>
      <c r="K10" s="8">
        <f t="shared" si="2"/>
        <v>16100</v>
      </c>
      <c r="L10" s="6" t="s">
        <v>72</v>
      </c>
      <c r="M10" s="6"/>
      <c r="N10" s="6"/>
    </row>
    <row r="11" spans="1:17" x14ac:dyDescent="0.35">
      <c r="A11" s="6">
        <v>10</v>
      </c>
      <c r="B11" s="6" t="s">
        <v>73</v>
      </c>
      <c r="C11" s="6" t="s">
        <v>74</v>
      </c>
      <c r="D11" s="6" t="s">
        <v>75</v>
      </c>
      <c r="E11" s="7">
        <v>46044</v>
      </c>
      <c r="F11" s="6" t="s">
        <v>35</v>
      </c>
      <c r="G11" s="7">
        <f t="shared" si="0"/>
        <v>46074</v>
      </c>
      <c r="H11" s="6" t="s">
        <v>36</v>
      </c>
      <c r="I11" s="8">
        <v>8600</v>
      </c>
      <c r="J11" s="8">
        <f t="shared" si="1"/>
        <v>455.8</v>
      </c>
      <c r="K11" s="8">
        <f t="shared" si="2"/>
        <v>9055.7999999999993</v>
      </c>
      <c r="L11" s="6" t="s">
        <v>76</v>
      </c>
      <c r="M11" s="6"/>
      <c r="N11" s="6"/>
    </row>
    <row r="12" spans="1:17" x14ac:dyDescent="0.35">
      <c r="A12" s="6">
        <v>11</v>
      </c>
      <c r="B12" s="6" t="s">
        <v>77</v>
      </c>
      <c r="C12" s="6" t="s">
        <v>78</v>
      </c>
      <c r="D12" s="6" t="s">
        <v>79</v>
      </c>
      <c r="E12" s="7">
        <v>46047</v>
      </c>
      <c r="F12" s="6" t="s">
        <v>41</v>
      </c>
      <c r="G12" s="7">
        <f t="shared" si="0"/>
        <v>46077</v>
      </c>
      <c r="H12" s="6" t="s">
        <v>42</v>
      </c>
      <c r="I12" s="8">
        <v>10250</v>
      </c>
      <c r="J12" s="8">
        <f t="shared" si="1"/>
        <v>0</v>
      </c>
      <c r="K12" s="8">
        <f t="shared" si="2"/>
        <v>10250</v>
      </c>
      <c r="L12" s="6" t="s">
        <v>80</v>
      </c>
      <c r="M12" s="6"/>
      <c r="N12" s="6"/>
    </row>
    <row r="13" spans="1:17" x14ac:dyDescent="0.35">
      <c r="A13" s="6">
        <v>12</v>
      </c>
      <c r="B13" s="6" t="s">
        <v>81</v>
      </c>
      <c r="C13" s="6" t="s">
        <v>82</v>
      </c>
      <c r="D13" s="6" t="s">
        <v>83</v>
      </c>
      <c r="E13" s="7">
        <v>46049</v>
      </c>
      <c r="F13" s="6" t="s">
        <v>35</v>
      </c>
      <c r="G13" s="7">
        <f t="shared" si="0"/>
        <v>46079</v>
      </c>
      <c r="H13" s="6" t="s">
        <v>36</v>
      </c>
      <c r="I13" s="8">
        <v>6780</v>
      </c>
      <c r="J13" s="8">
        <f t="shared" si="1"/>
        <v>359.34</v>
      </c>
      <c r="K13" s="8">
        <f t="shared" si="2"/>
        <v>7139.34</v>
      </c>
      <c r="L13" s="6" t="s">
        <v>84</v>
      </c>
      <c r="M13" s="6"/>
      <c r="N13" s="6"/>
    </row>
    <row r="14" spans="1:17" x14ac:dyDescent="0.35">
      <c r="A14" s="6">
        <v>13</v>
      </c>
      <c r="B14" s="6" t="s">
        <v>85</v>
      </c>
      <c r="C14" s="6" t="s">
        <v>86</v>
      </c>
      <c r="D14" s="6" t="s">
        <v>87</v>
      </c>
      <c r="E14" s="7">
        <v>46026</v>
      </c>
      <c r="F14" s="6" t="s">
        <v>35</v>
      </c>
      <c r="G14" s="7">
        <f t="shared" si="0"/>
        <v>46056</v>
      </c>
      <c r="H14" s="6" t="s">
        <v>36</v>
      </c>
      <c r="I14" s="8">
        <v>9800</v>
      </c>
      <c r="J14" s="8">
        <f t="shared" si="1"/>
        <v>519.4</v>
      </c>
      <c r="K14" s="8">
        <f t="shared" si="2"/>
        <v>10319.4</v>
      </c>
      <c r="L14" s="6" t="s">
        <v>88</v>
      </c>
      <c r="M14" s="6"/>
      <c r="N14" s="6"/>
    </row>
    <row r="15" spans="1:17" x14ac:dyDescent="0.35">
      <c r="A15" s="6">
        <v>14</v>
      </c>
      <c r="B15" s="6" t="s">
        <v>89</v>
      </c>
      <c r="C15" s="6" t="s">
        <v>90</v>
      </c>
      <c r="D15" s="6" t="s">
        <v>91</v>
      </c>
      <c r="E15" s="7">
        <v>46028</v>
      </c>
      <c r="F15" s="6" t="s">
        <v>47</v>
      </c>
      <c r="G15" s="7">
        <f t="shared" si="0"/>
        <v>46058</v>
      </c>
      <c r="H15" s="6" t="s">
        <v>36</v>
      </c>
      <c r="I15" s="8">
        <v>14200</v>
      </c>
      <c r="J15" s="8">
        <f t="shared" si="1"/>
        <v>752.6</v>
      </c>
      <c r="K15" s="8">
        <f t="shared" si="2"/>
        <v>14952.6</v>
      </c>
      <c r="L15" s="6" t="s">
        <v>92</v>
      </c>
      <c r="M15" s="6"/>
      <c r="N15" s="6"/>
    </row>
    <row r="16" spans="1:17" x14ac:dyDescent="0.35">
      <c r="A16" s="6">
        <v>15</v>
      </c>
      <c r="B16" s="6" t="s">
        <v>93</v>
      </c>
      <c r="C16" s="6" t="s">
        <v>94</v>
      </c>
      <c r="D16" s="6" t="s">
        <v>95</v>
      </c>
      <c r="E16" s="7">
        <v>46031</v>
      </c>
      <c r="F16" s="6" t="s">
        <v>96</v>
      </c>
      <c r="G16" s="7">
        <f t="shared" si="0"/>
        <v>46046</v>
      </c>
      <c r="H16" s="6" t="s">
        <v>36</v>
      </c>
      <c r="I16" s="8">
        <v>6400</v>
      </c>
      <c r="J16" s="8">
        <f t="shared" si="1"/>
        <v>339.2</v>
      </c>
      <c r="K16" s="8">
        <f t="shared" si="2"/>
        <v>6739.2</v>
      </c>
      <c r="L16" s="6" t="s">
        <v>97</v>
      </c>
      <c r="M16" s="6"/>
      <c r="N16" s="6"/>
    </row>
    <row r="17" spans="1:14" x14ac:dyDescent="0.35">
      <c r="A17" s="6">
        <v>16</v>
      </c>
      <c r="B17" s="6" t="s">
        <v>98</v>
      </c>
      <c r="C17" s="6" t="s">
        <v>99</v>
      </c>
      <c r="D17" s="6" t="s">
        <v>100</v>
      </c>
      <c r="E17" s="7">
        <v>46033</v>
      </c>
      <c r="F17" s="6" t="s">
        <v>35</v>
      </c>
      <c r="G17" s="7">
        <f t="shared" si="0"/>
        <v>46063</v>
      </c>
      <c r="H17" s="6" t="s">
        <v>36</v>
      </c>
      <c r="I17" s="8">
        <v>19500</v>
      </c>
      <c r="J17" s="8">
        <f t="shared" si="1"/>
        <v>1033.5</v>
      </c>
      <c r="K17" s="8">
        <f t="shared" si="2"/>
        <v>20533.5</v>
      </c>
      <c r="L17" s="6" t="s">
        <v>101</v>
      </c>
      <c r="M17" s="6"/>
      <c r="N17" s="6"/>
    </row>
    <row r="18" spans="1:14" x14ac:dyDescent="0.35">
      <c r="A18" s="6">
        <v>17</v>
      </c>
      <c r="B18" s="6" t="s">
        <v>102</v>
      </c>
      <c r="C18" s="6" t="s">
        <v>103</v>
      </c>
      <c r="D18" s="6" t="s">
        <v>104</v>
      </c>
      <c r="E18" s="7">
        <v>46035</v>
      </c>
      <c r="F18" s="6" t="s">
        <v>35</v>
      </c>
      <c r="G18" s="7">
        <f t="shared" si="0"/>
        <v>46065</v>
      </c>
      <c r="H18" s="6" t="s">
        <v>36</v>
      </c>
      <c r="I18" s="8">
        <v>12900</v>
      </c>
      <c r="J18" s="8">
        <f t="shared" si="1"/>
        <v>683.7</v>
      </c>
      <c r="K18" s="8">
        <f t="shared" si="2"/>
        <v>13583.7</v>
      </c>
      <c r="L18" s="6" t="s">
        <v>105</v>
      </c>
      <c r="M18" s="6"/>
      <c r="N18" s="6"/>
    </row>
    <row r="19" spans="1:14" x14ac:dyDescent="0.35">
      <c r="A19" s="6">
        <v>18</v>
      </c>
      <c r="B19" s="6" t="s">
        <v>106</v>
      </c>
      <c r="C19" s="6" t="s">
        <v>107</v>
      </c>
      <c r="D19" s="6" t="s">
        <v>108</v>
      </c>
      <c r="E19" s="7">
        <v>46036</v>
      </c>
      <c r="F19" s="6" t="s">
        <v>47</v>
      </c>
      <c r="G19" s="7">
        <f t="shared" si="0"/>
        <v>46066</v>
      </c>
      <c r="H19" s="6" t="s">
        <v>36</v>
      </c>
      <c r="I19" s="8">
        <v>8300</v>
      </c>
      <c r="J19" s="8">
        <f t="shared" si="1"/>
        <v>439.9</v>
      </c>
      <c r="K19" s="8">
        <f t="shared" si="2"/>
        <v>8739.9</v>
      </c>
      <c r="L19" s="6" t="s">
        <v>109</v>
      </c>
      <c r="M19" s="6"/>
      <c r="N19" s="6"/>
    </row>
    <row r="20" spans="1:14" x14ac:dyDescent="0.35">
      <c r="A20" s="6">
        <v>19</v>
      </c>
      <c r="B20" s="6" t="s">
        <v>110</v>
      </c>
      <c r="C20" s="6" t="s">
        <v>111</v>
      </c>
      <c r="D20" s="6" t="s">
        <v>112</v>
      </c>
      <c r="E20" s="7">
        <v>46038</v>
      </c>
      <c r="F20" s="6" t="s">
        <v>35</v>
      </c>
      <c r="G20" s="7">
        <f t="shared" si="0"/>
        <v>46068</v>
      </c>
      <c r="H20" s="6" t="s">
        <v>36</v>
      </c>
      <c r="I20" s="8">
        <v>17650</v>
      </c>
      <c r="J20" s="8">
        <f t="shared" si="1"/>
        <v>935.45</v>
      </c>
      <c r="K20" s="8">
        <f t="shared" si="2"/>
        <v>18585.45</v>
      </c>
      <c r="L20" s="6" t="s">
        <v>113</v>
      </c>
      <c r="M20" s="6"/>
      <c r="N20" s="6"/>
    </row>
    <row r="21" spans="1:14" x14ac:dyDescent="0.35">
      <c r="A21" s="6">
        <v>20</v>
      </c>
      <c r="B21" s="6" t="s">
        <v>114</v>
      </c>
      <c r="C21" s="6" t="s">
        <v>115</v>
      </c>
      <c r="D21" s="6" t="s">
        <v>116</v>
      </c>
      <c r="E21" s="7">
        <v>46041</v>
      </c>
      <c r="F21" s="6" t="s">
        <v>96</v>
      </c>
      <c r="G21" s="7">
        <f t="shared" si="0"/>
        <v>46056</v>
      </c>
      <c r="H21" s="6" t="s">
        <v>36</v>
      </c>
      <c r="I21" s="8">
        <v>5100</v>
      </c>
      <c r="J21" s="8">
        <f t="shared" si="1"/>
        <v>270.3</v>
      </c>
      <c r="K21" s="8">
        <f t="shared" si="2"/>
        <v>5370.3</v>
      </c>
      <c r="L21" s="6" t="s">
        <v>117</v>
      </c>
      <c r="M21" s="6"/>
      <c r="N21" s="6"/>
    </row>
    <row r="22" spans="1:14" x14ac:dyDescent="0.35">
      <c r="A22" s="6">
        <v>21</v>
      </c>
      <c r="B22" s="6" t="s">
        <v>118</v>
      </c>
      <c r="C22" s="6" t="s">
        <v>119</v>
      </c>
      <c r="D22" s="6" t="s">
        <v>120</v>
      </c>
      <c r="E22" s="7">
        <v>46043</v>
      </c>
      <c r="F22" s="6" t="s">
        <v>35</v>
      </c>
      <c r="G22" s="7">
        <f t="shared" si="0"/>
        <v>46073</v>
      </c>
      <c r="H22" s="6" t="s">
        <v>42</v>
      </c>
      <c r="I22" s="8">
        <v>21300</v>
      </c>
      <c r="J22" s="8">
        <f t="shared" si="1"/>
        <v>0</v>
      </c>
      <c r="K22" s="8">
        <f t="shared" si="2"/>
        <v>21300</v>
      </c>
      <c r="L22" s="6" t="s">
        <v>121</v>
      </c>
      <c r="M22" s="6"/>
      <c r="N22" s="6"/>
    </row>
    <row r="23" spans="1:14" x14ac:dyDescent="0.35">
      <c r="A23" s="6">
        <v>22</v>
      </c>
      <c r="B23" s="6" t="s">
        <v>122</v>
      </c>
      <c r="C23" s="6" t="s">
        <v>123</v>
      </c>
      <c r="D23" s="6" t="s">
        <v>124</v>
      </c>
      <c r="E23" s="7">
        <v>46045</v>
      </c>
      <c r="F23" s="6" t="s">
        <v>35</v>
      </c>
      <c r="G23" s="7">
        <f t="shared" si="0"/>
        <v>46075</v>
      </c>
      <c r="H23" s="6" t="s">
        <v>36</v>
      </c>
      <c r="I23" s="8">
        <v>10750</v>
      </c>
      <c r="J23" s="8">
        <f t="shared" si="1"/>
        <v>569.75</v>
      </c>
      <c r="K23" s="8">
        <f t="shared" si="2"/>
        <v>11319.75</v>
      </c>
      <c r="L23" s="6" t="s">
        <v>125</v>
      </c>
      <c r="M23" s="6"/>
      <c r="N23" s="6"/>
    </row>
    <row r="24" spans="1:14" x14ac:dyDescent="0.35">
      <c r="A24" s="6">
        <v>23</v>
      </c>
      <c r="B24" s="6" t="s">
        <v>126</v>
      </c>
      <c r="C24" s="6" t="s">
        <v>127</v>
      </c>
      <c r="D24" s="6" t="s">
        <v>128</v>
      </c>
      <c r="E24" s="7">
        <v>46046</v>
      </c>
      <c r="F24" s="6" t="s">
        <v>47</v>
      </c>
      <c r="G24" s="7">
        <f t="shared" si="0"/>
        <v>46076</v>
      </c>
      <c r="H24" s="6" t="s">
        <v>36</v>
      </c>
      <c r="I24" s="8">
        <v>7600</v>
      </c>
      <c r="J24" s="8">
        <f t="shared" si="1"/>
        <v>402.8</v>
      </c>
      <c r="K24" s="8">
        <f t="shared" si="2"/>
        <v>8002.8</v>
      </c>
      <c r="L24" s="6" t="s">
        <v>129</v>
      </c>
      <c r="M24" s="6"/>
      <c r="N24" s="6"/>
    </row>
    <row r="25" spans="1:14" x14ac:dyDescent="0.35">
      <c r="A25" s="6">
        <v>24</v>
      </c>
      <c r="B25" s="6" t="s">
        <v>130</v>
      </c>
      <c r="C25" s="6" t="s">
        <v>131</v>
      </c>
      <c r="D25" s="6" t="s">
        <v>132</v>
      </c>
      <c r="E25" s="7">
        <v>46050</v>
      </c>
      <c r="F25" s="6" t="s">
        <v>35</v>
      </c>
      <c r="G25" s="7">
        <f t="shared" si="0"/>
        <v>46080</v>
      </c>
      <c r="H25" s="6" t="s">
        <v>42</v>
      </c>
      <c r="I25" s="8">
        <v>13400</v>
      </c>
      <c r="J25" s="8">
        <f t="shared" si="1"/>
        <v>0</v>
      </c>
      <c r="K25" s="8">
        <f t="shared" si="2"/>
        <v>13400</v>
      </c>
      <c r="L25" s="6" t="s">
        <v>133</v>
      </c>
      <c r="M25" s="6"/>
      <c r="N25" s="6"/>
    </row>
    <row r="26" spans="1:14" x14ac:dyDescent="0.35">
      <c r="A26" s="6">
        <v>25</v>
      </c>
      <c r="B26" s="6" t="s">
        <v>134</v>
      </c>
      <c r="C26" s="6" t="s">
        <v>33</v>
      </c>
      <c r="D26" s="6" t="s">
        <v>34</v>
      </c>
      <c r="E26" s="7">
        <v>46052</v>
      </c>
      <c r="F26" s="6" t="s">
        <v>35</v>
      </c>
      <c r="G26" s="7">
        <f t="shared" si="0"/>
        <v>46082</v>
      </c>
      <c r="H26" s="6" t="s">
        <v>36</v>
      </c>
      <c r="I26" s="8">
        <v>11900</v>
      </c>
      <c r="J26" s="8">
        <f t="shared" si="1"/>
        <v>630.70000000000005</v>
      </c>
      <c r="K26" s="8">
        <f t="shared" si="2"/>
        <v>12530.7</v>
      </c>
      <c r="L26" s="6" t="s">
        <v>135</v>
      </c>
      <c r="M26" s="6"/>
      <c r="N26" s="6"/>
    </row>
    <row r="27" spans="1:14" x14ac:dyDescent="0.35">
      <c r="H27" s="9" t="s">
        <v>136</v>
      </c>
      <c r="I27" s="10">
        <f>SUM(I2:I26)</f>
        <v>324980</v>
      </c>
      <c r="J27" s="10">
        <f>SUM(J2:J26)</f>
        <v>11428.39</v>
      </c>
      <c r="K27" s="10">
        <f>SUM(K2:K26)</f>
        <v>336408.39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2"/>
  <sheetViews>
    <sheetView workbookViewId="0">
      <pane ySplit="1" topLeftCell="A2" activePane="bottomLeft" state="frozen"/>
      <selection pane="bottomLeft"/>
    </sheetView>
  </sheetViews>
  <sheetFormatPr defaultRowHeight="14.5" x14ac:dyDescent="0.35"/>
  <cols>
    <col min="1" max="1" width="6" customWidth="1"/>
    <col min="2" max="2" width="13" customWidth="1"/>
    <col min="3" max="3" width="26" customWidth="1"/>
    <col min="4" max="4" width="11" customWidth="1"/>
    <col min="5" max="5" width="15" customWidth="1"/>
    <col min="6" max="6" width="12" customWidth="1"/>
    <col min="7" max="7" width="13" customWidth="1"/>
    <col min="8" max="8" width="11" customWidth="1"/>
    <col min="9" max="9" width="12" customWidth="1"/>
    <col min="10" max="10" width="10" customWidth="1"/>
    <col min="11" max="13" width="12" customWidth="1"/>
    <col min="14" max="14" width="14" customWidth="1"/>
    <col min="15" max="15" width="12" customWidth="1"/>
    <col min="16" max="16" width="11" customWidth="1"/>
    <col min="17" max="18" width="24" customWidth="1"/>
  </cols>
  <sheetData>
    <row r="1" spans="1:18" ht="29" x14ac:dyDescent="0.35">
      <c r="A1" s="3" t="s">
        <v>17</v>
      </c>
      <c r="B1" s="3" t="s">
        <v>137</v>
      </c>
      <c r="C1" s="3" t="s">
        <v>19</v>
      </c>
      <c r="D1" s="3" t="s">
        <v>20</v>
      </c>
      <c r="E1" s="3" t="s">
        <v>138</v>
      </c>
      <c r="F1" s="3" t="s">
        <v>21</v>
      </c>
      <c r="G1" s="3" t="s">
        <v>22</v>
      </c>
      <c r="H1" s="3" t="s">
        <v>25</v>
      </c>
      <c r="I1" s="3" t="s">
        <v>27</v>
      </c>
      <c r="J1" s="3" t="s">
        <v>139</v>
      </c>
      <c r="K1" s="3" t="s">
        <v>140</v>
      </c>
      <c r="L1" s="3" t="s">
        <v>141</v>
      </c>
      <c r="M1" s="3" t="s">
        <v>142</v>
      </c>
      <c r="N1" s="3" t="s">
        <v>143</v>
      </c>
      <c r="O1" s="3" t="s">
        <v>144</v>
      </c>
      <c r="P1" s="3" t="s">
        <v>145</v>
      </c>
      <c r="Q1" s="3" t="s">
        <v>146</v>
      </c>
      <c r="R1" s="3" t="s">
        <v>30</v>
      </c>
    </row>
    <row r="2" spans="1:18" x14ac:dyDescent="0.35">
      <c r="A2" s="6">
        <v>1</v>
      </c>
      <c r="B2" s="7">
        <v>46034</v>
      </c>
      <c r="C2" s="6" t="str">
        <f>INDEX('Customer Invoice Index'!$C$2:$C$26,MATCH(E2,'Customer Invoice Index'!$B$2:$B$26,0))</f>
        <v>Piedmont Electrical Group</v>
      </c>
      <c r="D2" s="6" t="str">
        <f>INDEX('Customer Invoice Index'!$D$2:$D$26,MATCH(E2,'Customer Invoice Index'!$B$2:$B$26,0))</f>
        <v>C-016</v>
      </c>
      <c r="E2" s="6" t="s">
        <v>44</v>
      </c>
      <c r="F2" s="7">
        <f>INDEX('Customer Invoice Index'!$E$2:$E$26,MATCH(E2,'Customer Invoice Index'!$B$2:$B$26,0))</f>
        <v>46029</v>
      </c>
      <c r="G2" s="6" t="str">
        <f>INDEX('Customer Invoice Index'!$F$2:$F$26,MATCH(E2,'Customer Invoice Index'!$B$2:$B$26,0))</f>
        <v>2/10 Net 30</v>
      </c>
      <c r="H2" s="8">
        <f>INDEX('Customer Invoice Index'!$I$2:$I$26,MATCH(E2,'Customer Invoice Index'!$B$2:$B$26,0))</f>
        <v>11600</v>
      </c>
      <c r="I2" s="8">
        <f>INDEX('Customer Invoice Index'!$K$2:$K$26,MATCH(E2,'Customer Invoice Index'!$B$2:$B$26,0))</f>
        <v>12214.8</v>
      </c>
      <c r="J2" s="6">
        <f t="shared" ref="J2:J21" si="0">B2-F2</f>
        <v>5</v>
      </c>
      <c r="K2" s="6" t="str">
        <f t="shared" ref="K2:K21" si="1">IF(AND(G2="2/10 Net 30",J2&lt;=10),"Yes","No")</f>
        <v>Yes</v>
      </c>
      <c r="L2" s="8">
        <f t="shared" ref="L2:L21" si="2">IF(K2="Yes",ROUND(H2*0.02,2),0)</f>
        <v>232</v>
      </c>
      <c r="M2" s="8">
        <v>0</v>
      </c>
      <c r="N2" s="8">
        <f t="shared" ref="N2:N21" si="3">I2-L2-M2</f>
        <v>11982.8</v>
      </c>
      <c r="O2" s="8">
        <v>11982.8</v>
      </c>
      <c r="P2" s="8">
        <f t="shared" ref="P2:P21" si="4">O2-N2</f>
        <v>0</v>
      </c>
      <c r="Q2" s="6"/>
      <c r="R2" s="6" t="s">
        <v>147</v>
      </c>
    </row>
    <row r="3" spans="1:18" x14ac:dyDescent="0.35">
      <c r="A3" s="6">
        <v>2</v>
      </c>
      <c r="B3" s="7">
        <v>46037</v>
      </c>
      <c r="C3" s="6" t="str">
        <f>INDEX('Customer Invoice Index'!$C$2:$C$26,MATCH(E3,'Customer Invoice Index'!$B$2:$B$26,0))</f>
        <v>Metro DC Low Voltage</v>
      </c>
      <c r="D3" s="6" t="str">
        <f>INDEX('Customer Invoice Index'!$D$2:$D$26,MATCH(E3,'Customer Invoice Index'!$B$2:$B$26,0))</f>
        <v>C-017</v>
      </c>
      <c r="E3" s="6" t="s">
        <v>49</v>
      </c>
      <c r="F3" s="7">
        <f>INDEX('Customer Invoice Index'!$E$2:$E$26,MATCH(E3,'Customer Invoice Index'!$B$2:$B$26,0))</f>
        <v>46030</v>
      </c>
      <c r="G3" s="6" t="str">
        <f>INDEX('Customer Invoice Index'!$F$2:$F$26,MATCH(E3,'Customer Invoice Index'!$B$2:$B$26,0))</f>
        <v>Net 30</v>
      </c>
      <c r="H3" s="8">
        <f>INDEX('Customer Invoice Index'!$I$2:$I$26,MATCH(E3,'Customer Invoice Index'!$B$2:$B$26,0))</f>
        <v>7950</v>
      </c>
      <c r="I3" s="8">
        <f>INDEX('Customer Invoice Index'!$K$2:$K$26,MATCH(E3,'Customer Invoice Index'!$B$2:$B$26,0))</f>
        <v>8371.35</v>
      </c>
      <c r="J3" s="6">
        <f t="shared" si="0"/>
        <v>7</v>
      </c>
      <c r="K3" s="6" t="str">
        <f t="shared" si="1"/>
        <v>No</v>
      </c>
      <c r="L3" s="8">
        <f t="shared" si="2"/>
        <v>0</v>
      </c>
      <c r="M3" s="8">
        <v>0</v>
      </c>
      <c r="N3" s="8">
        <f t="shared" si="3"/>
        <v>8371.35</v>
      </c>
      <c r="O3" s="8">
        <v>8371.35</v>
      </c>
      <c r="P3" s="8">
        <f t="shared" si="4"/>
        <v>0</v>
      </c>
      <c r="Q3" s="6"/>
      <c r="R3" s="6" t="s">
        <v>148</v>
      </c>
    </row>
    <row r="4" spans="1:18" x14ac:dyDescent="0.35">
      <c r="A4" s="6">
        <v>3</v>
      </c>
      <c r="B4" s="7">
        <v>46047</v>
      </c>
      <c r="C4" s="6" t="str">
        <f>INDEX('Customer Invoice Index'!$C$2:$C$26,MATCH(E4,'Customer Invoice Index'!$B$2:$B$26,0))</f>
        <v>NOVA FiberBuild Contractors</v>
      </c>
      <c r="D4" s="6" t="str">
        <f>INDEX('Customer Invoice Index'!$D$2:$D$26,MATCH(E4,'Customer Invoice Index'!$B$2:$B$26,0))</f>
        <v>C-013</v>
      </c>
      <c r="E4" s="6" t="s">
        <v>32</v>
      </c>
      <c r="F4" s="7">
        <f>INDEX('Customer Invoice Index'!$E$2:$E$26,MATCH(E4,'Customer Invoice Index'!$B$2:$B$26,0))</f>
        <v>46025</v>
      </c>
      <c r="G4" s="6" t="str">
        <f>INDEX('Customer Invoice Index'!$F$2:$F$26,MATCH(E4,'Customer Invoice Index'!$B$2:$B$26,0))</f>
        <v>Net 30</v>
      </c>
      <c r="H4" s="8">
        <f>INDEX('Customer Invoice Index'!$I$2:$I$26,MATCH(E4,'Customer Invoice Index'!$B$2:$B$26,0))</f>
        <v>15250</v>
      </c>
      <c r="I4" s="8">
        <f>INDEX('Customer Invoice Index'!$K$2:$K$26,MATCH(E4,'Customer Invoice Index'!$B$2:$B$26,0))</f>
        <v>16058.25</v>
      </c>
      <c r="J4" s="6">
        <f t="shared" si="0"/>
        <v>22</v>
      </c>
      <c r="K4" s="6" t="str">
        <f t="shared" si="1"/>
        <v>No</v>
      </c>
      <c r="L4" s="8">
        <f t="shared" si="2"/>
        <v>0</v>
      </c>
      <c r="M4" s="8">
        <v>0</v>
      </c>
      <c r="N4" s="8">
        <f t="shared" si="3"/>
        <v>16058.25</v>
      </c>
      <c r="O4" s="8">
        <v>8000</v>
      </c>
      <c r="P4" s="8">
        <f t="shared" si="4"/>
        <v>-8058.25</v>
      </c>
      <c r="Q4" s="6"/>
      <c r="R4" s="6" t="s">
        <v>149</v>
      </c>
    </row>
    <row r="5" spans="1:18" x14ac:dyDescent="0.35">
      <c r="A5" s="6">
        <v>4</v>
      </c>
      <c r="B5" s="7">
        <v>46049</v>
      </c>
      <c r="C5" s="6" t="str">
        <f>INDEX('Customer Invoice Index'!$C$2:$C$26,MATCH(E5,'Customer Invoice Index'!$B$2:$B$26,0))</f>
        <v>Coastal Electric &amp; Controls</v>
      </c>
      <c r="D5" s="6" t="str">
        <f>INDEX('Customer Invoice Index'!$D$2:$D$26,MATCH(E5,'Customer Invoice Index'!$B$2:$B$26,0))</f>
        <v>C-014</v>
      </c>
      <c r="E5" s="6" t="s">
        <v>61</v>
      </c>
      <c r="F5" s="7">
        <f>INDEX('Customer Invoice Index'!$E$2:$E$26,MATCH(E5,'Customer Invoice Index'!$B$2:$B$26,0))</f>
        <v>46039</v>
      </c>
      <c r="G5" s="6" t="str">
        <f>INDEX('Customer Invoice Index'!$F$2:$F$26,MATCH(E5,'Customer Invoice Index'!$B$2:$B$26,0))</f>
        <v>2/10 Net 30</v>
      </c>
      <c r="H5" s="8">
        <f>INDEX('Customer Invoice Index'!$I$2:$I$26,MATCH(E5,'Customer Invoice Index'!$B$2:$B$26,0))</f>
        <v>9200</v>
      </c>
      <c r="I5" s="8">
        <f>INDEX('Customer Invoice Index'!$K$2:$K$26,MATCH(E5,'Customer Invoice Index'!$B$2:$B$26,0))</f>
        <v>9687.6</v>
      </c>
      <c r="J5" s="6">
        <f t="shared" si="0"/>
        <v>10</v>
      </c>
      <c r="K5" s="6" t="str">
        <f t="shared" si="1"/>
        <v>Yes</v>
      </c>
      <c r="L5" s="8">
        <f t="shared" si="2"/>
        <v>184</v>
      </c>
      <c r="M5" s="8">
        <v>0</v>
      </c>
      <c r="N5" s="8">
        <f t="shared" si="3"/>
        <v>9503.6</v>
      </c>
      <c r="O5" s="8">
        <v>9503.6</v>
      </c>
      <c r="P5" s="8">
        <f t="shared" si="4"/>
        <v>0</v>
      </c>
      <c r="Q5" s="6"/>
      <c r="R5" s="6" t="s">
        <v>147</v>
      </c>
    </row>
    <row r="6" spans="1:18" x14ac:dyDescent="0.35">
      <c r="A6" s="6">
        <v>5</v>
      </c>
      <c r="B6" s="7">
        <v>46053</v>
      </c>
      <c r="C6" s="6" t="str">
        <f>INDEX('Customer Invoice Index'!$C$2:$C$26,MATCH(E6,'Customer Invoice Index'!$B$2:$B$26,0))</f>
        <v>Patriot Network Solutions</v>
      </c>
      <c r="D6" s="6" t="str">
        <f>INDEX('Customer Invoice Index'!$D$2:$D$26,MATCH(E6,'Customer Invoice Index'!$B$2:$B$26,0))</f>
        <v>C-022</v>
      </c>
      <c r="E6" s="6" t="s">
        <v>73</v>
      </c>
      <c r="F6" s="7">
        <f>INDEX('Customer Invoice Index'!$E$2:$E$26,MATCH(E6,'Customer Invoice Index'!$B$2:$B$26,0))</f>
        <v>46044</v>
      </c>
      <c r="G6" s="6" t="str">
        <f>INDEX('Customer Invoice Index'!$F$2:$F$26,MATCH(E6,'Customer Invoice Index'!$B$2:$B$26,0))</f>
        <v>Net 30</v>
      </c>
      <c r="H6" s="8">
        <f>INDEX('Customer Invoice Index'!$I$2:$I$26,MATCH(E6,'Customer Invoice Index'!$B$2:$B$26,0))</f>
        <v>8600</v>
      </c>
      <c r="I6" s="8">
        <f>INDEX('Customer Invoice Index'!$K$2:$K$26,MATCH(E6,'Customer Invoice Index'!$B$2:$B$26,0))</f>
        <v>9055.7999999999993</v>
      </c>
      <c r="J6" s="6">
        <f t="shared" si="0"/>
        <v>9</v>
      </c>
      <c r="K6" s="6" t="str">
        <f t="shared" si="1"/>
        <v>No</v>
      </c>
      <c r="L6" s="8">
        <f t="shared" si="2"/>
        <v>0</v>
      </c>
      <c r="M6" s="8">
        <v>0</v>
      </c>
      <c r="N6" s="8">
        <f t="shared" si="3"/>
        <v>9055.7999999999993</v>
      </c>
      <c r="O6" s="8">
        <v>9000</v>
      </c>
      <c r="P6" s="8">
        <f t="shared" si="4"/>
        <v>-55.799999999999272</v>
      </c>
      <c r="Q6" s="6"/>
      <c r="R6" s="6" t="s">
        <v>150</v>
      </c>
    </row>
    <row r="7" spans="1:18" x14ac:dyDescent="0.35">
      <c r="A7" s="6">
        <v>6</v>
      </c>
      <c r="B7" s="7">
        <v>46053</v>
      </c>
      <c r="C7" s="6" t="str">
        <f>INDEX('Customer Invoice Index'!$C$2:$C$26,MATCH(E7,'Customer Invoice Index'!$B$2:$B$26,0))</f>
        <v>Manassas Telecom Services</v>
      </c>
      <c r="D7" s="6" t="str">
        <f>INDEX('Customer Invoice Index'!$D$2:$D$26,MATCH(E7,'Customer Invoice Index'!$B$2:$B$26,0))</f>
        <v>C-024</v>
      </c>
      <c r="E7" s="6" t="s">
        <v>81</v>
      </c>
      <c r="F7" s="7">
        <f>INDEX('Customer Invoice Index'!$E$2:$E$26,MATCH(E7,'Customer Invoice Index'!$B$2:$B$26,0))</f>
        <v>46049</v>
      </c>
      <c r="G7" s="6" t="str">
        <f>INDEX('Customer Invoice Index'!$F$2:$F$26,MATCH(E7,'Customer Invoice Index'!$B$2:$B$26,0))</f>
        <v>Net 30</v>
      </c>
      <c r="H7" s="8">
        <f>INDEX('Customer Invoice Index'!$I$2:$I$26,MATCH(E7,'Customer Invoice Index'!$B$2:$B$26,0))</f>
        <v>6780</v>
      </c>
      <c r="I7" s="8">
        <f>INDEX('Customer Invoice Index'!$K$2:$K$26,MATCH(E7,'Customer Invoice Index'!$B$2:$B$26,0))</f>
        <v>7139.34</v>
      </c>
      <c r="J7" s="6">
        <f t="shared" si="0"/>
        <v>4</v>
      </c>
      <c r="K7" s="6" t="str">
        <f t="shared" si="1"/>
        <v>No</v>
      </c>
      <c r="L7" s="8">
        <f t="shared" si="2"/>
        <v>0</v>
      </c>
      <c r="M7" s="8">
        <v>526.5</v>
      </c>
      <c r="N7" s="8">
        <f t="shared" si="3"/>
        <v>6612.84</v>
      </c>
      <c r="O7" s="8">
        <v>6612.84</v>
      </c>
      <c r="P7" s="8">
        <f t="shared" si="4"/>
        <v>0</v>
      </c>
      <c r="Q7" s="6"/>
      <c r="R7" s="6" t="s">
        <v>151</v>
      </c>
    </row>
    <row r="8" spans="1:18" x14ac:dyDescent="0.35">
      <c r="A8" s="6">
        <v>7</v>
      </c>
      <c r="B8" s="7">
        <v>46036</v>
      </c>
      <c r="C8" s="6" t="str">
        <f>INDEX('Customer Invoice Index'!$C$2:$C$26,MATCH(E8,'Customer Invoice Index'!$B$2:$B$26,0))</f>
        <v>Blue Ridge Retail Fixtures</v>
      </c>
      <c r="D8" s="6" t="str">
        <f>INDEX('Customer Invoice Index'!$D$2:$D$26,MATCH(E8,'Customer Invoice Index'!$B$2:$B$26,0))</f>
        <v>C-001</v>
      </c>
      <c r="E8" s="6" t="s">
        <v>85</v>
      </c>
      <c r="F8" s="7">
        <f>INDEX('Customer Invoice Index'!$E$2:$E$26,MATCH(E8,'Customer Invoice Index'!$B$2:$B$26,0))</f>
        <v>46026</v>
      </c>
      <c r="G8" s="6" t="str">
        <f>INDEX('Customer Invoice Index'!$F$2:$F$26,MATCH(E8,'Customer Invoice Index'!$B$2:$B$26,0))</f>
        <v>Net 30</v>
      </c>
      <c r="H8" s="8">
        <f>INDEX('Customer Invoice Index'!$I$2:$I$26,MATCH(E8,'Customer Invoice Index'!$B$2:$B$26,0))</f>
        <v>9800</v>
      </c>
      <c r="I8" s="8">
        <f>INDEX('Customer Invoice Index'!$K$2:$K$26,MATCH(E8,'Customer Invoice Index'!$B$2:$B$26,0))</f>
        <v>10319.4</v>
      </c>
      <c r="J8" s="6">
        <f t="shared" si="0"/>
        <v>10</v>
      </c>
      <c r="K8" s="6" t="str">
        <f t="shared" si="1"/>
        <v>No</v>
      </c>
      <c r="L8" s="8">
        <f t="shared" si="2"/>
        <v>0</v>
      </c>
      <c r="M8" s="8">
        <v>0</v>
      </c>
      <c r="N8" s="8">
        <f t="shared" si="3"/>
        <v>10319.4</v>
      </c>
      <c r="O8" s="8">
        <v>10500</v>
      </c>
      <c r="P8" s="8">
        <f t="shared" si="4"/>
        <v>180.60000000000036</v>
      </c>
      <c r="Q8" s="6"/>
      <c r="R8" s="6" t="s">
        <v>152</v>
      </c>
    </row>
    <row r="9" spans="1:18" x14ac:dyDescent="0.35">
      <c r="A9" s="6">
        <v>8</v>
      </c>
      <c r="B9" s="7">
        <v>46036</v>
      </c>
      <c r="C9" s="6" t="str">
        <f>INDEX('Customer Invoice Index'!$C$2:$C$26,MATCH(E9,'Customer Invoice Index'!$B$2:$B$26,0))</f>
        <v>Shenandoah Builders</v>
      </c>
      <c r="D9" s="6" t="str">
        <f>INDEX('Customer Invoice Index'!$D$2:$D$26,MATCH(E9,'Customer Invoice Index'!$B$2:$B$26,0))</f>
        <v>C-002</v>
      </c>
      <c r="E9" s="6" t="s">
        <v>89</v>
      </c>
      <c r="F9" s="7">
        <f>INDEX('Customer Invoice Index'!$E$2:$E$26,MATCH(E9,'Customer Invoice Index'!$B$2:$B$26,0))</f>
        <v>46028</v>
      </c>
      <c r="G9" s="6" t="str">
        <f>INDEX('Customer Invoice Index'!$F$2:$F$26,MATCH(E9,'Customer Invoice Index'!$B$2:$B$26,0))</f>
        <v>2/10 Net 30</v>
      </c>
      <c r="H9" s="8">
        <f>INDEX('Customer Invoice Index'!$I$2:$I$26,MATCH(E9,'Customer Invoice Index'!$B$2:$B$26,0))</f>
        <v>14200</v>
      </c>
      <c r="I9" s="8">
        <f>INDEX('Customer Invoice Index'!$K$2:$K$26,MATCH(E9,'Customer Invoice Index'!$B$2:$B$26,0))</f>
        <v>14952.6</v>
      </c>
      <c r="J9" s="6">
        <f t="shared" si="0"/>
        <v>8</v>
      </c>
      <c r="K9" s="6" t="str">
        <f t="shared" si="1"/>
        <v>Yes</v>
      </c>
      <c r="L9" s="8">
        <f t="shared" si="2"/>
        <v>284</v>
      </c>
      <c r="M9" s="8">
        <v>0</v>
      </c>
      <c r="N9" s="8">
        <f t="shared" si="3"/>
        <v>14668.6</v>
      </c>
      <c r="O9" s="8">
        <v>14668.6</v>
      </c>
      <c r="P9" s="8">
        <f t="shared" si="4"/>
        <v>0</v>
      </c>
      <c r="Q9" s="6"/>
      <c r="R9" s="6" t="s">
        <v>147</v>
      </c>
    </row>
    <row r="10" spans="1:18" x14ac:dyDescent="0.35">
      <c r="A10" s="6">
        <v>9</v>
      </c>
      <c r="B10" s="7">
        <v>46052</v>
      </c>
      <c r="C10" s="6" t="str">
        <f>INDEX('Customer Invoice Index'!$C$2:$C$26,MATCH(E10,'Customer Invoice Index'!$B$2:$B$26,0))</f>
        <v>Old Dominion Components</v>
      </c>
      <c r="D10" s="6" t="str">
        <f>INDEX('Customer Invoice Index'!$D$2:$D$26,MATCH(E10,'Customer Invoice Index'!$B$2:$B$26,0))</f>
        <v>C-006</v>
      </c>
      <c r="E10" s="6" t="s">
        <v>106</v>
      </c>
      <c r="F10" s="7">
        <f>INDEX('Customer Invoice Index'!$E$2:$E$26,MATCH(E10,'Customer Invoice Index'!$B$2:$B$26,0))</f>
        <v>46036</v>
      </c>
      <c r="G10" s="6" t="str">
        <f>INDEX('Customer Invoice Index'!$F$2:$F$26,MATCH(E10,'Customer Invoice Index'!$B$2:$B$26,0))</f>
        <v>2/10 Net 30</v>
      </c>
      <c r="H10" s="8">
        <f>INDEX('Customer Invoice Index'!$I$2:$I$26,MATCH(E10,'Customer Invoice Index'!$B$2:$B$26,0))</f>
        <v>8300</v>
      </c>
      <c r="I10" s="8">
        <f>INDEX('Customer Invoice Index'!$K$2:$K$26,MATCH(E10,'Customer Invoice Index'!$B$2:$B$26,0))</f>
        <v>8739.9</v>
      </c>
      <c r="J10" s="6">
        <f t="shared" si="0"/>
        <v>16</v>
      </c>
      <c r="K10" s="6" t="str">
        <f t="shared" si="1"/>
        <v>No</v>
      </c>
      <c r="L10" s="8">
        <f t="shared" si="2"/>
        <v>0</v>
      </c>
      <c r="M10" s="8">
        <v>0</v>
      </c>
      <c r="N10" s="8">
        <f t="shared" si="3"/>
        <v>8739.9</v>
      </c>
      <c r="O10" s="8">
        <v>8573.9</v>
      </c>
      <c r="P10" s="8">
        <f t="shared" si="4"/>
        <v>-166</v>
      </c>
      <c r="Q10" s="6"/>
      <c r="R10" s="6" t="s">
        <v>153</v>
      </c>
    </row>
    <row r="11" spans="1:18" x14ac:dyDescent="0.35">
      <c r="A11" s="6">
        <v>10</v>
      </c>
      <c r="B11" s="7">
        <v>46052</v>
      </c>
      <c r="C11" s="6" t="str">
        <f>INDEX('Customer Invoice Index'!$C$2:$C$26,MATCH(E11,'Customer Invoice Index'!$B$2:$B$26,0))</f>
        <v>Appalachian Retail Group</v>
      </c>
      <c r="D11" s="6" t="str">
        <f>INDEX('Customer Invoice Index'!$D$2:$D$26,MATCH(E11,'Customer Invoice Index'!$B$2:$B$26,0))</f>
        <v>C-011</v>
      </c>
      <c r="E11" s="6" t="s">
        <v>126</v>
      </c>
      <c r="F11" s="7">
        <f>INDEX('Customer Invoice Index'!$E$2:$E$26,MATCH(E11,'Customer Invoice Index'!$B$2:$B$26,0))</f>
        <v>46046</v>
      </c>
      <c r="G11" s="6" t="str">
        <f>INDEX('Customer Invoice Index'!$F$2:$F$26,MATCH(E11,'Customer Invoice Index'!$B$2:$B$26,0))</f>
        <v>2/10 Net 30</v>
      </c>
      <c r="H11" s="8">
        <f>INDEX('Customer Invoice Index'!$I$2:$I$26,MATCH(E11,'Customer Invoice Index'!$B$2:$B$26,0))</f>
        <v>7600</v>
      </c>
      <c r="I11" s="8">
        <f>INDEX('Customer Invoice Index'!$K$2:$K$26,MATCH(E11,'Customer Invoice Index'!$B$2:$B$26,0))</f>
        <v>8002.8</v>
      </c>
      <c r="J11" s="6">
        <f t="shared" si="0"/>
        <v>6</v>
      </c>
      <c r="K11" s="6" t="str">
        <f t="shared" si="1"/>
        <v>Yes</v>
      </c>
      <c r="L11" s="8">
        <f t="shared" si="2"/>
        <v>152</v>
      </c>
      <c r="M11" s="8">
        <v>0</v>
      </c>
      <c r="N11" s="8">
        <f t="shared" si="3"/>
        <v>7850.8</v>
      </c>
      <c r="O11" s="8">
        <v>7850.8</v>
      </c>
      <c r="P11" s="8">
        <f t="shared" si="4"/>
        <v>0</v>
      </c>
      <c r="Q11" s="6"/>
      <c r="R11" s="6" t="s">
        <v>147</v>
      </c>
    </row>
    <row r="12" spans="1:18" x14ac:dyDescent="0.35">
      <c r="A12" s="6">
        <v>11</v>
      </c>
      <c r="B12" s="7">
        <v>46051</v>
      </c>
      <c r="C12" s="6" t="str">
        <f>INDEX('Customer Invoice Index'!$C$2:$C$26,MATCH(E12,'Customer Invoice Index'!$B$2:$B$26,0))</f>
        <v>Virginia Transit Parts</v>
      </c>
      <c r="D12" s="6" t="str">
        <f>INDEX('Customer Invoice Index'!$D$2:$D$26,MATCH(E12,'Customer Invoice Index'!$B$2:$B$26,0))</f>
        <v>C-010</v>
      </c>
      <c r="E12" s="6" t="s">
        <v>122</v>
      </c>
      <c r="F12" s="7">
        <f>INDEX('Customer Invoice Index'!$E$2:$E$26,MATCH(E12,'Customer Invoice Index'!$B$2:$B$26,0))</f>
        <v>46045</v>
      </c>
      <c r="G12" s="6" t="str">
        <f>INDEX('Customer Invoice Index'!$F$2:$F$26,MATCH(E12,'Customer Invoice Index'!$B$2:$B$26,0))</f>
        <v>Net 30</v>
      </c>
      <c r="H12" s="8">
        <f>INDEX('Customer Invoice Index'!$I$2:$I$26,MATCH(E12,'Customer Invoice Index'!$B$2:$B$26,0))</f>
        <v>10750</v>
      </c>
      <c r="I12" s="8">
        <f>INDEX('Customer Invoice Index'!$K$2:$K$26,MATCH(E12,'Customer Invoice Index'!$B$2:$B$26,0))</f>
        <v>11319.75</v>
      </c>
      <c r="J12" s="6">
        <f t="shared" si="0"/>
        <v>6</v>
      </c>
      <c r="K12" s="6" t="str">
        <f t="shared" si="1"/>
        <v>No</v>
      </c>
      <c r="L12" s="8">
        <f t="shared" si="2"/>
        <v>0</v>
      </c>
      <c r="M12" s="8">
        <v>0</v>
      </c>
      <c r="N12" s="8">
        <f t="shared" si="3"/>
        <v>11319.75</v>
      </c>
      <c r="O12" s="8">
        <v>10800</v>
      </c>
      <c r="P12" s="8">
        <f t="shared" si="4"/>
        <v>-519.75</v>
      </c>
      <c r="Q12" s="6"/>
      <c r="R12" s="6" t="s">
        <v>154</v>
      </c>
    </row>
    <row r="13" spans="1:18" x14ac:dyDescent="0.35">
      <c r="A13" s="6">
        <v>12</v>
      </c>
      <c r="B13" s="7">
        <v>46040</v>
      </c>
      <c r="C13" s="6" t="str">
        <f>INDEX('Customer Invoice Index'!$C$2:$C$26,MATCH(E13,'Customer Invoice Index'!$B$2:$B$26,0))</f>
        <v>Hampton Roads Data Centers</v>
      </c>
      <c r="D13" s="6" t="str">
        <f>INDEX('Customer Invoice Index'!$D$2:$D$26,MATCH(E13,'Customer Invoice Index'!$B$2:$B$26,0))</f>
        <v>C-015</v>
      </c>
      <c r="E13" s="6" t="s">
        <v>38</v>
      </c>
      <c r="F13" s="7">
        <f>INDEX('Customer Invoice Index'!$E$2:$E$26,MATCH(E13,'Customer Invoice Index'!$B$2:$B$26,0))</f>
        <v>46027</v>
      </c>
      <c r="G13" s="6" t="str">
        <f>INDEX('Customer Invoice Index'!$F$2:$F$26,MATCH(E13,'Customer Invoice Index'!$B$2:$B$26,0))</f>
        <v>Net 45</v>
      </c>
      <c r="H13" s="8">
        <f>INDEX('Customer Invoice Index'!$I$2:$I$26,MATCH(E13,'Customer Invoice Index'!$B$2:$B$26,0))</f>
        <v>22800</v>
      </c>
      <c r="I13" s="8">
        <f>INDEX('Customer Invoice Index'!$K$2:$K$26,MATCH(E13,'Customer Invoice Index'!$B$2:$B$26,0))</f>
        <v>22800</v>
      </c>
      <c r="J13" s="6">
        <f t="shared" si="0"/>
        <v>13</v>
      </c>
      <c r="K13" s="6" t="str">
        <f t="shared" si="1"/>
        <v>No</v>
      </c>
      <c r="L13" s="8">
        <f t="shared" si="2"/>
        <v>0</v>
      </c>
      <c r="M13" s="8">
        <v>0</v>
      </c>
      <c r="N13" s="8">
        <f t="shared" si="3"/>
        <v>22800</v>
      </c>
      <c r="O13" s="8">
        <v>22800</v>
      </c>
      <c r="P13" s="8">
        <f t="shared" si="4"/>
        <v>0</v>
      </c>
      <c r="Q13" s="6"/>
      <c r="R13" s="6" t="s">
        <v>148</v>
      </c>
    </row>
    <row r="14" spans="1:18" x14ac:dyDescent="0.35">
      <c r="A14" s="6">
        <v>13</v>
      </c>
      <c r="B14" s="7">
        <v>46046</v>
      </c>
      <c r="C14" s="6" t="str">
        <f>INDEX('Customer Invoice Index'!$C$2:$C$26,MATCH(E14,'Customer Invoice Index'!$B$2:$B$26,0))</f>
        <v>Richmond Metro Fiber</v>
      </c>
      <c r="D14" s="6" t="str">
        <f>INDEX('Customer Invoice Index'!$D$2:$D$26,MATCH(E14,'Customer Invoice Index'!$B$2:$B$26,0))</f>
        <v>C-018</v>
      </c>
      <c r="E14" s="6" t="s">
        <v>53</v>
      </c>
      <c r="F14" s="7">
        <f>INDEX('Customer Invoice Index'!$E$2:$E$26,MATCH(E14,'Customer Invoice Index'!$B$2:$B$26,0))</f>
        <v>46032</v>
      </c>
      <c r="G14" s="6" t="str">
        <f>INDEX('Customer Invoice Index'!$F$2:$F$26,MATCH(E14,'Customer Invoice Index'!$B$2:$B$26,0))</f>
        <v>Net 30</v>
      </c>
      <c r="H14" s="8">
        <f>INDEX('Customer Invoice Index'!$I$2:$I$26,MATCH(E14,'Customer Invoice Index'!$B$2:$B$26,0))</f>
        <v>18400</v>
      </c>
      <c r="I14" s="8">
        <f>INDEX('Customer Invoice Index'!$K$2:$K$26,MATCH(E14,'Customer Invoice Index'!$B$2:$B$26,0))</f>
        <v>19375.2</v>
      </c>
      <c r="J14" s="6">
        <f t="shared" si="0"/>
        <v>14</v>
      </c>
      <c r="K14" s="6" t="str">
        <f t="shared" si="1"/>
        <v>No</v>
      </c>
      <c r="L14" s="8">
        <f t="shared" si="2"/>
        <v>0</v>
      </c>
      <c r="M14" s="8">
        <v>0</v>
      </c>
      <c r="N14" s="8">
        <f t="shared" si="3"/>
        <v>19375.2</v>
      </c>
      <c r="O14" s="8">
        <v>19375.2</v>
      </c>
      <c r="P14" s="8">
        <f t="shared" si="4"/>
        <v>0</v>
      </c>
      <c r="Q14" s="6"/>
      <c r="R14" s="6" t="s">
        <v>148</v>
      </c>
    </row>
    <row r="15" spans="1:18" x14ac:dyDescent="0.35">
      <c r="A15" s="6">
        <v>14</v>
      </c>
      <c r="B15" s="7">
        <v>46052</v>
      </c>
      <c r="C15" s="6" t="str">
        <f>INDEX('Customer Invoice Index'!$C$2:$C$26,MATCH(E15,'Customer Invoice Index'!$B$2:$B$26,0))</f>
        <v>Cavalier Controls Inc.</v>
      </c>
      <c r="D15" s="6" t="str">
        <f>INDEX('Customer Invoice Index'!$D$2:$D$26,MATCH(E15,'Customer Invoice Index'!$B$2:$B$26,0))</f>
        <v>C-020</v>
      </c>
      <c r="E15" s="6" t="s">
        <v>65</v>
      </c>
      <c r="F15" s="7">
        <f>INDEX('Customer Invoice Index'!$E$2:$E$26,MATCH(E15,'Customer Invoice Index'!$B$2:$B$26,0))</f>
        <v>46040</v>
      </c>
      <c r="G15" s="6" t="str">
        <f>INDEX('Customer Invoice Index'!$F$2:$F$26,MATCH(E15,'Customer Invoice Index'!$B$2:$B$26,0))</f>
        <v>Net 30</v>
      </c>
      <c r="H15" s="8">
        <f>INDEX('Customer Invoice Index'!$I$2:$I$26,MATCH(E15,'Customer Invoice Index'!$B$2:$B$26,0))</f>
        <v>13750</v>
      </c>
      <c r="I15" s="8">
        <f>INDEX('Customer Invoice Index'!$K$2:$K$26,MATCH(E15,'Customer Invoice Index'!$B$2:$B$26,0))</f>
        <v>14478.75</v>
      </c>
      <c r="J15" s="6">
        <f t="shared" si="0"/>
        <v>12</v>
      </c>
      <c r="K15" s="6" t="str">
        <f t="shared" si="1"/>
        <v>No</v>
      </c>
      <c r="L15" s="8">
        <f t="shared" si="2"/>
        <v>0</v>
      </c>
      <c r="M15" s="8">
        <v>0</v>
      </c>
      <c r="N15" s="8">
        <f t="shared" si="3"/>
        <v>14478.75</v>
      </c>
      <c r="O15" s="8">
        <v>14478.75</v>
      </c>
      <c r="P15" s="8">
        <f t="shared" si="4"/>
        <v>0</v>
      </c>
      <c r="Q15" s="6"/>
      <c r="R15" s="6" t="s">
        <v>148</v>
      </c>
    </row>
    <row r="16" spans="1:18" x14ac:dyDescent="0.35">
      <c r="A16" s="6">
        <v>15</v>
      </c>
      <c r="B16" s="7">
        <v>46053</v>
      </c>
      <c r="C16" s="6" t="str">
        <f>INDEX('Customer Invoice Index'!$C$2:$C$26,MATCH(E16,'Customer Invoice Index'!$B$2:$B$26,0))</f>
        <v>Cardinal HVAC</v>
      </c>
      <c r="D16" s="6" t="str">
        <f>INDEX('Customer Invoice Index'!$D$2:$D$26,MATCH(E16,'Customer Invoice Index'!$B$2:$B$26,0))</f>
        <v>C-003</v>
      </c>
      <c r="E16" s="6" t="s">
        <v>93</v>
      </c>
      <c r="F16" s="7">
        <f>INDEX('Customer Invoice Index'!$E$2:$E$26,MATCH(E16,'Customer Invoice Index'!$B$2:$B$26,0))</f>
        <v>46031</v>
      </c>
      <c r="G16" s="6" t="str">
        <f>INDEX('Customer Invoice Index'!$F$2:$F$26,MATCH(E16,'Customer Invoice Index'!$B$2:$B$26,0))</f>
        <v>Net 15</v>
      </c>
      <c r="H16" s="8">
        <f>INDEX('Customer Invoice Index'!$I$2:$I$26,MATCH(E16,'Customer Invoice Index'!$B$2:$B$26,0))</f>
        <v>6400</v>
      </c>
      <c r="I16" s="8">
        <f>INDEX('Customer Invoice Index'!$K$2:$K$26,MATCH(E16,'Customer Invoice Index'!$B$2:$B$26,0))</f>
        <v>6739.2</v>
      </c>
      <c r="J16" s="6">
        <f t="shared" si="0"/>
        <v>22</v>
      </c>
      <c r="K16" s="6" t="str">
        <f t="shared" si="1"/>
        <v>No</v>
      </c>
      <c r="L16" s="8">
        <f t="shared" si="2"/>
        <v>0</v>
      </c>
      <c r="M16" s="8">
        <v>0</v>
      </c>
      <c r="N16" s="8">
        <f t="shared" si="3"/>
        <v>6739.2</v>
      </c>
      <c r="O16" s="8">
        <v>6739.2</v>
      </c>
      <c r="P16" s="8">
        <f t="shared" si="4"/>
        <v>0</v>
      </c>
      <c r="Q16" s="6"/>
      <c r="R16" s="6" t="s">
        <v>155</v>
      </c>
    </row>
    <row r="17" spans="1:18" x14ac:dyDescent="0.35">
      <c r="A17" s="6">
        <v>16</v>
      </c>
      <c r="B17" s="7">
        <v>46052</v>
      </c>
      <c r="C17" s="6" t="str">
        <f>INDEX('Customer Invoice Index'!$C$2:$C$26,MATCH(E17,'Customer Invoice Index'!$B$2:$B$26,0))</f>
        <v>Coastal Supply Co.</v>
      </c>
      <c r="D17" s="6" t="str">
        <f>INDEX('Customer Invoice Index'!$D$2:$D$26,MATCH(E17,'Customer Invoice Index'!$B$2:$B$26,0))</f>
        <v>C-004</v>
      </c>
      <c r="E17" s="6" t="s">
        <v>98</v>
      </c>
      <c r="F17" s="7">
        <f>INDEX('Customer Invoice Index'!$E$2:$E$26,MATCH(E17,'Customer Invoice Index'!$B$2:$B$26,0))</f>
        <v>46033</v>
      </c>
      <c r="G17" s="6" t="str">
        <f>INDEX('Customer Invoice Index'!$F$2:$F$26,MATCH(E17,'Customer Invoice Index'!$B$2:$B$26,0))</f>
        <v>Net 30</v>
      </c>
      <c r="H17" s="8">
        <f>INDEX('Customer Invoice Index'!$I$2:$I$26,MATCH(E17,'Customer Invoice Index'!$B$2:$B$26,0))</f>
        <v>19500</v>
      </c>
      <c r="I17" s="8">
        <f>INDEX('Customer Invoice Index'!$K$2:$K$26,MATCH(E17,'Customer Invoice Index'!$B$2:$B$26,0))</f>
        <v>20533.5</v>
      </c>
      <c r="J17" s="6">
        <f t="shared" si="0"/>
        <v>19</v>
      </c>
      <c r="K17" s="6" t="str">
        <f t="shared" si="1"/>
        <v>No</v>
      </c>
      <c r="L17" s="8">
        <f t="shared" si="2"/>
        <v>0</v>
      </c>
      <c r="M17" s="8">
        <v>0</v>
      </c>
      <c r="N17" s="8">
        <f t="shared" si="3"/>
        <v>20533.5</v>
      </c>
      <c r="O17" s="8">
        <v>20533.5</v>
      </c>
      <c r="P17" s="8">
        <f t="shared" si="4"/>
        <v>0</v>
      </c>
      <c r="Q17" s="6"/>
      <c r="R17" s="6" t="s">
        <v>148</v>
      </c>
    </row>
    <row r="18" spans="1:18" x14ac:dyDescent="0.35">
      <c r="A18" s="6">
        <v>17</v>
      </c>
      <c r="B18" s="7">
        <v>46053</v>
      </c>
      <c r="C18" s="6" t="str">
        <f>INDEX('Customer Invoice Index'!$C$2:$C$26,MATCH(E18,'Customer Invoice Index'!$B$2:$B$26,0))</f>
        <v>Metro Equipment</v>
      </c>
      <c r="D18" s="6" t="str">
        <f>INDEX('Customer Invoice Index'!$D$2:$D$26,MATCH(E18,'Customer Invoice Index'!$B$2:$B$26,0))</f>
        <v>C-005</v>
      </c>
      <c r="E18" s="6" t="s">
        <v>102</v>
      </c>
      <c r="F18" s="7">
        <f>INDEX('Customer Invoice Index'!$E$2:$E$26,MATCH(E18,'Customer Invoice Index'!$B$2:$B$26,0))</f>
        <v>46035</v>
      </c>
      <c r="G18" s="6" t="str">
        <f>INDEX('Customer Invoice Index'!$F$2:$F$26,MATCH(E18,'Customer Invoice Index'!$B$2:$B$26,0))</f>
        <v>Net 30</v>
      </c>
      <c r="H18" s="8">
        <f>INDEX('Customer Invoice Index'!$I$2:$I$26,MATCH(E18,'Customer Invoice Index'!$B$2:$B$26,0))</f>
        <v>12900</v>
      </c>
      <c r="I18" s="8">
        <f>INDEX('Customer Invoice Index'!$K$2:$K$26,MATCH(E18,'Customer Invoice Index'!$B$2:$B$26,0))</f>
        <v>13583.7</v>
      </c>
      <c r="J18" s="6">
        <f t="shared" si="0"/>
        <v>18</v>
      </c>
      <c r="K18" s="6" t="str">
        <f t="shared" si="1"/>
        <v>No</v>
      </c>
      <c r="L18" s="8">
        <f t="shared" si="2"/>
        <v>0</v>
      </c>
      <c r="M18" s="8">
        <v>0</v>
      </c>
      <c r="N18" s="8">
        <f t="shared" si="3"/>
        <v>13583.7</v>
      </c>
      <c r="O18" s="8">
        <v>13583.7</v>
      </c>
      <c r="P18" s="8">
        <f t="shared" si="4"/>
        <v>0</v>
      </c>
      <c r="Q18" s="6"/>
      <c r="R18" s="6" t="s">
        <v>148</v>
      </c>
    </row>
    <row r="19" spans="1:18" x14ac:dyDescent="0.35">
      <c r="A19" s="6">
        <v>18</v>
      </c>
      <c r="B19" s="7">
        <v>46053</v>
      </c>
      <c r="C19" s="6" t="str">
        <f>INDEX('Customer Invoice Index'!$C$2:$C$26,MATCH(E19,'Customer Invoice Index'!$B$2:$B$26,0))</f>
        <v>Harbor Fixtures</v>
      </c>
      <c r="D19" s="6" t="str">
        <f>INDEX('Customer Invoice Index'!$D$2:$D$26,MATCH(E19,'Customer Invoice Index'!$B$2:$B$26,0))</f>
        <v>C-008</v>
      </c>
      <c r="E19" s="6" t="s">
        <v>114</v>
      </c>
      <c r="F19" s="7">
        <f>INDEX('Customer Invoice Index'!$E$2:$E$26,MATCH(E19,'Customer Invoice Index'!$B$2:$B$26,0))</f>
        <v>46041</v>
      </c>
      <c r="G19" s="6" t="str">
        <f>INDEX('Customer Invoice Index'!$F$2:$F$26,MATCH(E19,'Customer Invoice Index'!$B$2:$B$26,0))</f>
        <v>Net 15</v>
      </c>
      <c r="H19" s="8">
        <f>INDEX('Customer Invoice Index'!$I$2:$I$26,MATCH(E19,'Customer Invoice Index'!$B$2:$B$26,0))</f>
        <v>5100</v>
      </c>
      <c r="I19" s="8">
        <f>INDEX('Customer Invoice Index'!$K$2:$K$26,MATCH(E19,'Customer Invoice Index'!$B$2:$B$26,0))</f>
        <v>5370.3</v>
      </c>
      <c r="J19" s="6">
        <f t="shared" si="0"/>
        <v>12</v>
      </c>
      <c r="K19" s="6" t="str">
        <f t="shared" si="1"/>
        <v>No</v>
      </c>
      <c r="L19" s="8">
        <f t="shared" si="2"/>
        <v>0</v>
      </c>
      <c r="M19" s="8">
        <v>0</v>
      </c>
      <c r="N19" s="8">
        <f t="shared" si="3"/>
        <v>5370.3</v>
      </c>
      <c r="O19" s="8">
        <v>5370.3</v>
      </c>
      <c r="P19" s="8">
        <f t="shared" si="4"/>
        <v>0</v>
      </c>
      <c r="Q19" s="6"/>
      <c r="R19" s="6" t="s">
        <v>148</v>
      </c>
    </row>
    <row r="20" spans="1:18" x14ac:dyDescent="0.35">
      <c r="A20" s="6">
        <v>19</v>
      </c>
      <c r="B20" s="7">
        <v>46053</v>
      </c>
      <c r="C20" s="6" t="str">
        <f>INDEX('Customer Invoice Index'!$C$2:$C$26,MATCH(E20,'Customer Invoice Index'!$B$2:$B$26,0))</f>
        <v>Summit Contractors</v>
      </c>
      <c r="D20" s="6" t="str">
        <f>INDEX('Customer Invoice Index'!$D$2:$D$26,MATCH(E20,'Customer Invoice Index'!$B$2:$B$26,0))</f>
        <v>C-009</v>
      </c>
      <c r="E20" s="6" t="s">
        <v>118</v>
      </c>
      <c r="F20" s="7">
        <f>INDEX('Customer Invoice Index'!$E$2:$E$26,MATCH(E20,'Customer Invoice Index'!$B$2:$B$26,0))</f>
        <v>46043</v>
      </c>
      <c r="G20" s="6" t="str">
        <f>INDEX('Customer Invoice Index'!$F$2:$F$26,MATCH(E20,'Customer Invoice Index'!$B$2:$B$26,0))</f>
        <v>Net 30</v>
      </c>
      <c r="H20" s="8">
        <f>INDEX('Customer Invoice Index'!$I$2:$I$26,MATCH(E20,'Customer Invoice Index'!$B$2:$B$26,0))</f>
        <v>21300</v>
      </c>
      <c r="I20" s="8">
        <f>INDEX('Customer Invoice Index'!$K$2:$K$26,MATCH(E20,'Customer Invoice Index'!$B$2:$B$26,0))</f>
        <v>21300</v>
      </c>
      <c r="J20" s="6">
        <f t="shared" si="0"/>
        <v>10</v>
      </c>
      <c r="K20" s="6" t="str">
        <f t="shared" si="1"/>
        <v>No</v>
      </c>
      <c r="L20" s="8">
        <f t="shared" si="2"/>
        <v>0</v>
      </c>
      <c r="M20" s="8">
        <v>0</v>
      </c>
      <c r="N20" s="8">
        <f t="shared" si="3"/>
        <v>21300</v>
      </c>
      <c r="O20" s="8">
        <v>21300</v>
      </c>
      <c r="P20" s="8">
        <f t="shared" si="4"/>
        <v>0</v>
      </c>
      <c r="Q20" s="6"/>
      <c r="R20" s="6" t="s">
        <v>148</v>
      </c>
    </row>
    <row r="21" spans="1:18" x14ac:dyDescent="0.35">
      <c r="A21" s="6">
        <v>20</v>
      </c>
      <c r="B21" s="7">
        <v>46053</v>
      </c>
      <c r="C21" s="6" t="str">
        <f>INDEX('Customer Invoice Index'!$C$2:$C$26,MATCH(E21,'Customer Invoice Index'!$B$2:$B$26,0))</f>
        <v>Chesapeake Fabricators</v>
      </c>
      <c r="D21" s="6" t="str">
        <f>INDEX('Customer Invoice Index'!$D$2:$D$26,MATCH(E21,'Customer Invoice Index'!$B$2:$B$26,0))</f>
        <v>C-012</v>
      </c>
      <c r="E21" s="6" t="s">
        <v>130</v>
      </c>
      <c r="F21" s="7">
        <f>INDEX('Customer Invoice Index'!$E$2:$E$26,MATCH(E21,'Customer Invoice Index'!$B$2:$B$26,0))</f>
        <v>46050</v>
      </c>
      <c r="G21" s="6" t="str">
        <f>INDEX('Customer Invoice Index'!$F$2:$F$26,MATCH(E21,'Customer Invoice Index'!$B$2:$B$26,0))</f>
        <v>Net 30</v>
      </c>
      <c r="H21" s="8">
        <f>INDEX('Customer Invoice Index'!$I$2:$I$26,MATCH(E21,'Customer Invoice Index'!$B$2:$B$26,0))</f>
        <v>13400</v>
      </c>
      <c r="I21" s="8">
        <f>INDEX('Customer Invoice Index'!$K$2:$K$26,MATCH(E21,'Customer Invoice Index'!$B$2:$B$26,0))</f>
        <v>13400</v>
      </c>
      <c r="J21" s="6">
        <f t="shared" si="0"/>
        <v>3</v>
      </c>
      <c r="K21" s="6" t="str">
        <f t="shared" si="1"/>
        <v>No</v>
      </c>
      <c r="L21" s="8">
        <f t="shared" si="2"/>
        <v>0</v>
      </c>
      <c r="M21" s="8">
        <v>0</v>
      </c>
      <c r="N21" s="8">
        <f t="shared" si="3"/>
        <v>13400</v>
      </c>
      <c r="O21" s="8">
        <v>13400</v>
      </c>
      <c r="P21" s="8">
        <f t="shared" si="4"/>
        <v>0</v>
      </c>
      <c r="Q21" s="6"/>
      <c r="R21" s="6" t="s">
        <v>148</v>
      </c>
    </row>
    <row r="22" spans="1:18" x14ac:dyDescent="0.35">
      <c r="N22" s="9" t="s">
        <v>136</v>
      </c>
      <c r="O22" s="10">
        <f>SUM(O2:O21)</f>
        <v>243444.54</v>
      </c>
      <c r="P22" s="10">
        <f>SUM(P2:P21)</f>
        <v>-8619.1999999999989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
  <sheetViews>
    <sheetView workbookViewId="0">
      <pane ySplit="1" topLeftCell="A2" activePane="bottomLeft" state="frozen"/>
      <selection pane="bottomLeft"/>
    </sheetView>
  </sheetViews>
  <sheetFormatPr defaultRowHeight="14.5" x14ac:dyDescent="0.35"/>
  <cols>
    <col min="1" max="1" width="6" customWidth="1"/>
    <col min="2" max="2" width="26" customWidth="1"/>
    <col min="3" max="3" width="15" customWidth="1"/>
    <col min="4" max="4" width="12" customWidth="1"/>
    <col min="5" max="5" width="26" customWidth="1"/>
    <col min="6" max="6" width="46" customWidth="1"/>
    <col min="7" max="8" width="13" customWidth="1"/>
    <col min="9" max="9" width="11" customWidth="1"/>
    <col min="10" max="10" width="42" customWidth="1"/>
  </cols>
  <sheetData>
    <row r="1" spans="1:10" ht="29" x14ac:dyDescent="0.35">
      <c r="A1" s="3" t="s">
        <v>17</v>
      </c>
      <c r="B1" s="3" t="s">
        <v>19</v>
      </c>
      <c r="C1" s="3" t="s">
        <v>138</v>
      </c>
      <c r="D1" s="3" t="s">
        <v>27</v>
      </c>
      <c r="E1" s="3" t="s">
        <v>156</v>
      </c>
      <c r="F1" s="3" t="s">
        <v>157</v>
      </c>
      <c r="G1" s="3" t="s">
        <v>143</v>
      </c>
      <c r="H1" s="3" t="s">
        <v>144</v>
      </c>
      <c r="I1" s="3" t="s">
        <v>145</v>
      </c>
      <c r="J1" s="3" t="s">
        <v>158</v>
      </c>
    </row>
    <row r="2" spans="1:10" ht="45" customHeight="1" x14ac:dyDescent="0.35">
      <c r="A2" s="11">
        <v>1</v>
      </c>
      <c r="B2" s="11" t="s">
        <v>45</v>
      </c>
      <c r="C2" s="11" t="s">
        <v>44</v>
      </c>
      <c r="D2" s="12">
        <v>12214.8</v>
      </c>
      <c r="E2" s="13" t="s">
        <v>159</v>
      </c>
      <c r="F2" s="13" t="s">
        <v>160</v>
      </c>
      <c r="G2" s="12">
        <v>11982.8</v>
      </c>
      <c r="H2" s="12">
        <v>11982.8</v>
      </c>
      <c r="I2" s="12">
        <v>0</v>
      </c>
      <c r="J2" s="13" t="s">
        <v>161</v>
      </c>
    </row>
    <row r="3" spans="1:10" ht="45" customHeight="1" x14ac:dyDescent="0.35">
      <c r="A3" s="11">
        <v>2</v>
      </c>
      <c r="B3" s="11" t="s">
        <v>62</v>
      </c>
      <c r="C3" s="11" t="s">
        <v>61</v>
      </c>
      <c r="D3" s="12">
        <v>9687.6</v>
      </c>
      <c r="E3" s="13" t="s">
        <v>159</v>
      </c>
      <c r="F3" s="13" t="s">
        <v>162</v>
      </c>
      <c r="G3" s="12">
        <v>9503.6</v>
      </c>
      <c r="H3" s="12">
        <v>9503.6</v>
      </c>
      <c r="I3" s="12">
        <v>0</v>
      </c>
      <c r="J3" s="13" t="s">
        <v>163</v>
      </c>
    </row>
    <row r="4" spans="1:10" ht="45" customHeight="1" x14ac:dyDescent="0.35">
      <c r="A4" s="11">
        <v>3</v>
      </c>
      <c r="B4" s="11" t="s">
        <v>90</v>
      </c>
      <c r="C4" s="11" t="s">
        <v>89</v>
      </c>
      <c r="D4" s="12">
        <v>14952.6</v>
      </c>
      <c r="E4" s="13" t="s">
        <v>159</v>
      </c>
      <c r="F4" s="13" t="s">
        <v>164</v>
      </c>
      <c r="G4" s="12">
        <v>14668.6</v>
      </c>
      <c r="H4" s="12">
        <v>14668.6</v>
      </c>
      <c r="I4" s="12">
        <v>0</v>
      </c>
      <c r="J4" s="13" t="s">
        <v>165</v>
      </c>
    </row>
    <row r="5" spans="1:10" ht="45" customHeight="1" x14ac:dyDescent="0.35">
      <c r="A5" s="11">
        <v>4</v>
      </c>
      <c r="B5" s="11" t="s">
        <v>127</v>
      </c>
      <c r="C5" s="11" t="s">
        <v>126</v>
      </c>
      <c r="D5" s="12">
        <v>8002.8</v>
      </c>
      <c r="E5" s="13" t="s">
        <v>159</v>
      </c>
      <c r="F5" s="13" t="s">
        <v>166</v>
      </c>
      <c r="G5" s="12">
        <v>7850.8</v>
      </c>
      <c r="H5" s="12">
        <v>7850.8</v>
      </c>
      <c r="I5" s="12">
        <v>0</v>
      </c>
      <c r="J5" s="13" t="s">
        <v>167</v>
      </c>
    </row>
    <row r="6" spans="1:10" ht="45" customHeight="1" x14ac:dyDescent="0.35">
      <c r="A6" s="11">
        <v>5</v>
      </c>
      <c r="B6" s="11" t="s">
        <v>107</v>
      </c>
      <c r="C6" s="11" t="s">
        <v>106</v>
      </c>
      <c r="D6" s="12">
        <v>8739.9</v>
      </c>
      <c r="E6" s="13" t="s">
        <v>168</v>
      </c>
      <c r="F6" s="13" t="s">
        <v>169</v>
      </c>
      <c r="G6" s="12">
        <v>8739.9</v>
      </c>
      <c r="H6" s="12">
        <v>8573.9</v>
      </c>
      <c r="I6" s="12">
        <v>-166</v>
      </c>
      <c r="J6" s="13" t="s">
        <v>170</v>
      </c>
    </row>
    <row r="7" spans="1:10" ht="45" customHeight="1" x14ac:dyDescent="0.35">
      <c r="A7" s="11">
        <v>6</v>
      </c>
      <c r="B7" s="11" t="s">
        <v>33</v>
      </c>
      <c r="C7" s="11" t="s">
        <v>32</v>
      </c>
      <c r="D7" s="12">
        <v>16058.25</v>
      </c>
      <c r="E7" s="13" t="s">
        <v>171</v>
      </c>
      <c r="F7" s="13" t="s">
        <v>172</v>
      </c>
      <c r="G7" s="12">
        <v>16058.25</v>
      </c>
      <c r="H7" s="12">
        <v>8000</v>
      </c>
      <c r="I7" s="12">
        <v>-8058.25</v>
      </c>
      <c r="J7" s="13" t="s">
        <v>173</v>
      </c>
    </row>
    <row r="8" spans="1:10" ht="45" customHeight="1" x14ac:dyDescent="0.35">
      <c r="A8" s="11">
        <v>7</v>
      </c>
      <c r="B8" s="11" t="s">
        <v>74</v>
      </c>
      <c r="C8" s="11" t="s">
        <v>73</v>
      </c>
      <c r="D8" s="12">
        <v>9055.7999999999993</v>
      </c>
      <c r="E8" s="13" t="s">
        <v>174</v>
      </c>
      <c r="F8" s="13" t="s">
        <v>175</v>
      </c>
      <c r="G8" s="12">
        <v>9055.7999999999993</v>
      </c>
      <c r="H8" s="12">
        <v>9000</v>
      </c>
      <c r="I8" s="12">
        <v>-55.8</v>
      </c>
      <c r="J8" s="13" t="s">
        <v>176</v>
      </c>
    </row>
    <row r="9" spans="1:10" ht="45" customHeight="1" x14ac:dyDescent="0.35">
      <c r="A9" s="11">
        <v>8</v>
      </c>
      <c r="B9" s="11" t="s">
        <v>123</v>
      </c>
      <c r="C9" s="11" t="s">
        <v>122</v>
      </c>
      <c r="D9" s="12">
        <v>11319.75</v>
      </c>
      <c r="E9" s="13" t="s">
        <v>177</v>
      </c>
      <c r="F9" s="13" t="s">
        <v>178</v>
      </c>
      <c r="G9" s="12">
        <v>11319.75</v>
      </c>
      <c r="H9" s="12">
        <v>10800</v>
      </c>
      <c r="I9" s="12">
        <v>-519.75</v>
      </c>
      <c r="J9" s="13" t="s">
        <v>176</v>
      </c>
    </row>
    <row r="10" spans="1:10" ht="45" customHeight="1" x14ac:dyDescent="0.35">
      <c r="A10" s="11">
        <v>9</v>
      </c>
      <c r="B10" s="11" t="s">
        <v>86</v>
      </c>
      <c r="C10" s="11" t="s">
        <v>85</v>
      </c>
      <c r="D10" s="12">
        <v>10319.4</v>
      </c>
      <c r="E10" s="13" t="s">
        <v>179</v>
      </c>
      <c r="F10" s="13" t="s">
        <v>180</v>
      </c>
      <c r="G10" s="12">
        <v>10319.4</v>
      </c>
      <c r="H10" s="12">
        <v>10500</v>
      </c>
      <c r="I10" s="12">
        <v>180.6</v>
      </c>
      <c r="J10" s="13" t="s">
        <v>181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1"/>
  <sheetViews>
    <sheetView workbookViewId="0">
      <pane ySplit="16" topLeftCell="A17" activePane="bottomLeft" state="frozen"/>
      <selection pane="bottomLeft"/>
    </sheetView>
  </sheetViews>
  <sheetFormatPr defaultRowHeight="14.5" x14ac:dyDescent="0.35"/>
  <cols>
    <col min="1" max="1" width="30" customWidth="1"/>
    <col min="2" max="2" width="22" customWidth="1"/>
    <col min="3" max="3" width="26" customWidth="1"/>
    <col min="4" max="5" width="13" customWidth="1"/>
    <col min="6" max="6" width="20" customWidth="1"/>
    <col min="7" max="7" width="13" customWidth="1"/>
    <col min="8" max="8" width="15" customWidth="1"/>
    <col min="9" max="9" width="20" customWidth="1"/>
  </cols>
  <sheetData>
    <row r="1" spans="1:10" ht="26" customHeight="1" x14ac:dyDescent="0.35">
      <c r="A1" s="17" t="s">
        <v>182</v>
      </c>
      <c r="B1" s="18"/>
      <c r="C1" s="18"/>
      <c r="D1" s="18"/>
      <c r="E1" s="18"/>
      <c r="F1" s="18"/>
      <c r="G1" s="18"/>
      <c r="H1" s="18"/>
    </row>
    <row r="3" spans="1:10" x14ac:dyDescent="0.35">
      <c r="A3" s="9" t="s">
        <v>183</v>
      </c>
      <c r="B3" s="14">
        <v>46053</v>
      </c>
    </row>
    <row r="5" spans="1:10" ht="28" customHeight="1" x14ac:dyDescent="0.35">
      <c r="A5" s="19" t="s">
        <v>184</v>
      </c>
      <c r="B5" s="18"/>
      <c r="C5" s="18"/>
      <c r="D5" s="18"/>
      <c r="E5" s="18"/>
      <c r="F5" s="18"/>
      <c r="G5" s="18"/>
      <c r="H5" s="18"/>
      <c r="I5" s="18"/>
      <c r="J5" s="18"/>
    </row>
    <row r="7" spans="1:10" x14ac:dyDescent="0.35">
      <c r="A7" s="3" t="s">
        <v>185</v>
      </c>
      <c r="B7" s="3" t="s">
        <v>186</v>
      </c>
    </row>
    <row r="8" spans="1:10" x14ac:dyDescent="0.35">
      <c r="A8" s="15" t="s">
        <v>187</v>
      </c>
      <c r="B8" s="16">
        <f>SUMIF($I$17:$I$41,A8,$G$17:$G$41)</f>
        <v>92437.35</v>
      </c>
    </row>
    <row r="9" spans="1:10" x14ac:dyDescent="0.35">
      <c r="A9" s="15" t="s">
        <v>188</v>
      </c>
      <c r="B9" s="16">
        <f>SUMIF($I$17:$I$41,A9,$G$17:$G$41)</f>
        <v>0</v>
      </c>
    </row>
    <row r="10" spans="1:10" x14ac:dyDescent="0.35">
      <c r="A10" s="15" t="s">
        <v>189</v>
      </c>
      <c r="B10" s="16">
        <f>SUMIF($I$17:$I$41,A10,$G$17:$G$41)</f>
        <v>0</v>
      </c>
    </row>
    <row r="11" spans="1:10" x14ac:dyDescent="0.35">
      <c r="A11" s="15" t="s">
        <v>190</v>
      </c>
      <c r="B11" s="16">
        <f>SUMIF($I$17:$I$41,A11,$G$17:$G$41)</f>
        <v>0</v>
      </c>
    </row>
    <row r="12" spans="1:10" x14ac:dyDescent="0.35">
      <c r="A12" s="9" t="s">
        <v>191</v>
      </c>
      <c r="B12" s="10">
        <f>SUM(B8:B11)</f>
        <v>92437.35</v>
      </c>
    </row>
    <row r="13" spans="1:10" x14ac:dyDescent="0.35">
      <c r="A13" s="9" t="s">
        <v>192</v>
      </c>
      <c r="B13" s="9" t="str">
        <f>IF(ROUND(B12-SUM($G$17:$G$41),2)=0,"TIE","OUT OF BALANCE")</f>
        <v>TIE</v>
      </c>
    </row>
    <row r="16" spans="1:10" ht="29" x14ac:dyDescent="0.35">
      <c r="A16" s="3" t="s">
        <v>17</v>
      </c>
      <c r="B16" s="3" t="s">
        <v>18</v>
      </c>
      <c r="C16" s="3" t="s">
        <v>19</v>
      </c>
      <c r="D16" s="3" t="s">
        <v>21</v>
      </c>
      <c r="E16" s="3" t="s">
        <v>27</v>
      </c>
      <c r="F16" s="3" t="s">
        <v>193</v>
      </c>
      <c r="G16" s="3" t="s">
        <v>194</v>
      </c>
      <c r="H16" s="3" t="s">
        <v>195</v>
      </c>
      <c r="I16" s="3" t="s">
        <v>185</v>
      </c>
    </row>
    <row r="17" spans="1:9" x14ac:dyDescent="0.35">
      <c r="A17" s="6">
        <v>1</v>
      </c>
      <c r="B17" s="6" t="s">
        <v>32</v>
      </c>
      <c r="C17" s="6" t="str">
        <f>INDEX('Customer Invoice Index'!$C$2:$C$26,MATCH(B17,'Customer Invoice Index'!$B$2:$B$26,0))</f>
        <v>NOVA FiberBuild Contractors</v>
      </c>
      <c r="D17" s="7">
        <f>INDEX('Customer Invoice Index'!$E$2:$E$26,MATCH(B17,'Customer Invoice Index'!$B$2:$B$26,0))</f>
        <v>46025</v>
      </c>
      <c r="E17" s="8">
        <f>INDEX('Customer Invoice Index'!$K$2:$K$26,MATCH(B17,'Customer Invoice Index'!$B$2:$B$26,0))</f>
        <v>16058.25</v>
      </c>
      <c r="F17" s="8">
        <f>SUMIFS('Payment Remittance Batch'!$O$2:$O$21,'Payment Remittance Batch'!$E$2:$E$21,B17)+SUMIFS('Payment Remittance Batch'!$M$2:$M$21,'Payment Remittance Batch'!$E$2:$E$21,B17)</f>
        <v>8000</v>
      </c>
      <c r="G17" s="8">
        <f t="shared" ref="G17:G41" si="0">E17-F17</f>
        <v>8058.25</v>
      </c>
      <c r="H17" s="6">
        <f t="shared" ref="H17:H41" si="1">$B$3-D17</f>
        <v>28</v>
      </c>
      <c r="I17" s="6" t="str">
        <f t="shared" ref="I17:I41" si="2">IF(ROUND(G17,2)=0,"Paid in Full",IF(H17&lt;=30,"Current (0-30 days)",IF(H17&lt;=60,"31-60 days",IF(H17&lt;=90,"61-90 days","90+ days"))))</f>
        <v>Current (0-30 days)</v>
      </c>
    </row>
    <row r="18" spans="1:9" x14ac:dyDescent="0.35">
      <c r="A18" s="6">
        <v>2</v>
      </c>
      <c r="B18" s="6" t="s">
        <v>38</v>
      </c>
      <c r="C18" s="6" t="str">
        <f>INDEX('Customer Invoice Index'!$C$2:$C$26,MATCH(B18,'Customer Invoice Index'!$B$2:$B$26,0))</f>
        <v>Hampton Roads Data Centers</v>
      </c>
      <c r="D18" s="7">
        <f>INDEX('Customer Invoice Index'!$E$2:$E$26,MATCH(B18,'Customer Invoice Index'!$B$2:$B$26,0))</f>
        <v>46027</v>
      </c>
      <c r="E18" s="8">
        <f>INDEX('Customer Invoice Index'!$K$2:$K$26,MATCH(B18,'Customer Invoice Index'!$B$2:$B$26,0))</f>
        <v>22800</v>
      </c>
      <c r="F18" s="8">
        <f>SUMIFS('Payment Remittance Batch'!$O$2:$O$21,'Payment Remittance Batch'!$E$2:$E$21,B18)+SUMIFS('Payment Remittance Batch'!$M$2:$M$21,'Payment Remittance Batch'!$E$2:$E$21,B18)</f>
        <v>22800</v>
      </c>
      <c r="G18" s="8">
        <f t="shared" si="0"/>
        <v>0</v>
      </c>
      <c r="H18" s="6">
        <f t="shared" si="1"/>
        <v>26</v>
      </c>
      <c r="I18" s="6" t="str">
        <f t="shared" si="2"/>
        <v>Paid in Full</v>
      </c>
    </row>
    <row r="19" spans="1:9" x14ac:dyDescent="0.35">
      <c r="A19" s="6">
        <v>3</v>
      </c>
      <c r="B19" s="6" t="s">
        <v>44</v>
      </c>
      <c r="C19" s="6" t="str">
        <f>INDEX('Customer Invoice Index'!$C$2:$C$26,MATCH(B19,'Customer Invoice Index'!$B$2:$B$26,0))</f>
        <v>Piedmont Electrical Group</v>
      </c>
      <c r="D19" s="7">
        <f>INDEX('Customer Invoice Index'!$E$2:$E$26,MATCH(B19,'Customer Invoice Index'!$B$2:$B$26,0))</f>
        <v>46029</v>
      </c>
      <c r="E19" s="8">
        <f>INDEX('Customer Invoice Index'!$K$2:$K$26,MATCH(B19,'Customer Invoice Index'!$B$2:$B$26,0))</f>
        <v>12214.8</v>
      </c>
      <c r="F19" s="8">
        <f>SUMIFS('Payment Remittance Batch'!$O$2:$O$21,'Payment Remittance Batch'!$E$2:$E$21,B19)+SUMIFS('Payment Remittance Batch'!$M$2:$M$21,'Payment Remittance Batch'!$E$2:$E$21,B19)</f>
        <v>11982.8</v>
      </c>
      <c r="G19" s="8">
        <f t="shared" si="0"/>
        <v>232</v>
      </c>
      <c r="H19" s="6">
        <f t="shared" si="1"/>
        <v>24</v>
      </c>
      <c r="I19" s="6" t="str">
        <f t="shared" si="2"/>
        <v>Current (0-30 days)</v>
      </c>
    </row>
    <row r="20" spans="1:9" x14ac:dyDescent="0.35">
      <c r="A20" s="6">
        <v>4</v>
      </c>
      <c r="B20" s="6" t="s">
        <v>49</v>
      </c>
      <c r="C20" s="6" t="str">
        <f>INDEX('Customer Invoice Index'!$C$2:$C$26,MATCH(B20,'Customer Invoice Index'!$B$2:$B$26,0))</f>
        <v>Metro DC Low Voltage</v>
      </c>
      <c r="D20" s="7">
        <f>INDEX('Customer Invoice Index'!$E$2:$E$26,MATCH(B20,'Customer Invoice Index'!$B$2:$B$26,0))</f>
        <v>46030</v>
      </c>
      <c r="E20" s="8">
        <f>INDEX('Customer Invoice Index'!$K$2:$K$26,MATCH(B20,'Customer Invoice Index'!$B$2:$B$26,0))</f>
        <v>8371.35</v>
      </c>
      <c r="F20" s="8">
        <f>SUMIFS('Payment Remittance Batch'!$O$2:$O$21,'Payment Remittance Batch'!$E$2:$E$21,B20)+SUMIFS('Payment Remittance Batch'!$M$2:$M$21,'Payment Remittance Batch'!$E$2:$E$21,B20)</f>
        <v>8371.35</v>
      </c>
      <c r="G20" s="8">
        <f t="shared" si="0"/>
        <v>0</v>
      </c>
      <c r="H20" s="6">
        <f t="shared" si="1"/>
        <v>23</v>
      </c>
      <c r="I20" s="6" t="str">
        <f t="shared" si="2"/>
        <v>Paid in Full</v>
      </c>
    </row>
    <row r="21" spans="1:9" x14ac:dyDescent="0.35">
      <c r="A21" s="6">
        <v>5</v>
      </c>
      <c r="B21" s="6" t="s">
        <v>53</v>
      </c>
      <c r="C21" s="6" t="str">
        <f>INDEX('Customer Invoice Index'!$C$2:$C$26,MATCH(B21,'Customer Invoice Index'!$B$2:$B$26,0))</f>
        <v>Richmond Metro Fiber</v>
      </c>
      <c r="D21" s="7">
        <f>INDEX('Customer Invoice Index'!$E$2:$E$26,MATCH(B21,'Customer Invoice Index'!$B$2:$B$26,0))</f>
        <v>46032</v>
      </c>
      <c r="E21" s="8">
        <f>INDEX('Customer Invoice Index'!$K$2:$K$26,MATCH(B21,'Customer Invoice Index'!$B$2:$B$26,0))</f>
        <v>19375.2</v>
      </c>
      <c r="F21" s="8">
        <f>SUMIFS('Payment Remittance Batch'!$O$2:$O$21,'Payment Remittance Batch'!$E$2:$E$21,B21)+SUMIFS('Payment Remittance Batch'!$M$2:$M$21,'Payment Remittance Batch'!$E$2:$E$21,B21)</f>
        <v>19375.2</v>
      </c>
      <c r="G21" s="8">
        <f t="shared" si="0"/>
        <v>0</v>
      </c>
      <c r="H21" s="6">
        <f t="shared" si="1"/>
        <v>21</v>
      </c>
      <c r="I21" s="6" t="str">
        <f t="shared" si="2"/>
        <v>Paid in Full</v>
      </c>
    </row>
    <row r="22" spans="1:9" x14ac:dyDescent="0.35">
      <c r="A22" s="6">
        <v>6</v>
      </c>
      <c r="B22" s="6" t="s">
        <v>57</v>
      </c>
      <c r="C22" s="6" t="str">
        <f>INDEX('Customer Invoice Index'!$C$2:$C$26,MATCH(B22,'Customer Invoice Index'!$B$2:$B$26,0))</f>
        <v>Dulles Cloud Campus LLC</v>
      </c>
      <c r="D22" s="7">
        <f>INDEX('Customer Invoice Index'!$E$2:$E$26,MATCH(B22,'Customer Invoice Index'!$B$2:$B$26,0))</f>
        <v>46034</v>
      </c>
      <c r="E22" s="8">
        <f>INDEX('Customer Invoice Index'!$K$2:$K$26,MATCH(B22,'Customer Invoice Index'!$B$2:$B$26,0))</f>
        <v>25500</v>
      </c>
      <c r="F22" s="8">
        <f>SUMIFS('Payment Remittance Batch'!$O$2:$O$21,'Payment Remittance Batch'!$E$2:$E$21,B22)+SUMIFS('Payment Remittance Batch'!$M$2:$M$21,'Payment Remittance Batch'!$E$2:$E$21,B22)</f>
        <v>0</v>
      </c>
      <c r="G22" s="8">
        <f t="shared" si="0"/>
        <v>25500</v>
      </c>
      <c r="H22" s="6">
        <f t="shared" si="1"/>
        <v>19</v>
      </c>
      <c r="I22" s="6" t="str">
        <f t="shared" si="2"/>
        <v>Current (0-30 days)</v>
      </c>
    </row>
    <row r="23" spans="1:9" x14ac:dyDescent="0.35">
      <c r="A23" s="6">
        <v>7</v>
      </c>
      <c r="B23" s="6" t="s">
        <v>61</v>
      </c>
      <c r="C23" s="6" t="str">
        <f>INDEX('Customer Invoice Index'!$C$2:$C$26,MATCH(B23,'Customer Invoice Index'!$B$2:$B$26,0))</f>
        <v>Coastal Electric &amp; Controls</v>
      </c>
      <c r="D23" s="7">
        <f>INDEX('Customer Invoice Index'!$E$2:$E$26,MATCH(B23,'Customer Invoice Index'!$B$2:$B$26,0))</f>
        <v>46039</v>
      </c>
      <c r="E23" s="8">
        <f>INDEX('Customer Invoice Index'!$K$2:$K$26,MATCH(B23,'Customer Invoice Index'!$B$2:$B$26,0))</f>
        <v>9687.6</v>
      </c>
      <c r="F23" s="8">
        <f>SUMIFS('Payment Remittance Batch'!$O$2:$O$21,'Payment Remittance Batch'!$E$2:$E$21,B23)+SUMIFS('Payment Remittance Batch'!$M$2:$M$21,'Payment Remittance Batch'!$E$2:$E$21,B23)</f>
        <v>9503.6</v>
      </c>
      <c r="G23" s="8">
        <f t="shared" si="0"/>
        <v>184</v>
      </c>
      <c r="H23" s="6">
        <f t="shared" si="1"/>
        <v>14</v>
      </c>
      <c r="I23" s="6" t="str">
        <f t="shared" si="2"/>
        <v>Current (0-30 days)</v>
      </c>
    </row>
    <row r="24" spans="1:9" x14ac:dyDescent="0.35">
      <c r="A24" s="6">
        <v>8</v>
      </c>
      <c r="B24" s="6" t="s">
        <v>65</v>
      </c>
      <c r="C24" s="6" t="str">
        <f>INDEX('Customer Invoice Index'!$C$2:$C$26,MATCH(B24,'Customer Invoice Index'!$B$2:$B$26,0))</f>
        <v>Cavalier Controls Inc.</v>
      </c>
      <c r="D24" s="7">
        <f>INDEX('Customer Invoice Index'!$E$2:$E$26,MATCH(B24,'Customer Invoice Index'!$B$2:$B$26,0))</f>
        <v>46040</v>
      </c>
      <c r="E24" s="8">
        <f>INDEX('Customer Invoice Index'!$K$2:$K$26,MATCH(B24,'Customer Invoice Index'!$B$2:$B$26,0))</f>
        <v>14478.75</v>
      </c>
      <c r="F24" s="8">
        <f>SUMIFS('Payment Remittance Batch'!$O$2:$O$21,'Payment Remittance Batch'!$E$2:$E$21,B24)+SUMIFS('Payment Remittance Batch'!$M$2:$M$21,'Payment Remittance Batch'!$E$2:$E$21,B24)</f>
        <v>14478.75</v>
      </c>
      <c r="G24" s="8">
        <f t="shared" si="0"/>
        <v>0</v>
      </c>
      <c r="H24" s="6">
        <f t="shared" si="1"/>
        <v>13</v>
      </c>
      <c r="I24" s="6" t="str">
        <f t="shared" si="2"/>
        <v>Paid in Full</v>
      </c>
    </row>
    <row r="25" spans="1:9" x14ac:dyDescent="0.35">
      <c r="A25" s="6">
        <v>9</v>
      </c>
      <c r="B25" s="6" t="s">
        <v>69</v>
      </c>
      <c r="C25" s="6" t="str">
        <f>INDEX('Customer Invoice Index'!$C$2:$C$26,MATCH(B25,'Customer Invoice Index'!$B$2:$B$26,0))</f>
        <v>Shenandoah Energy Services</v>
      </c>
      <c r="D25" s="7">
        <f>INDEX('Customer Invoice Index'!$E$2:$E$26,MATCH(B25,'Customer Invoice Index'!$B$2:$B$26,0))</f>
        <v>46042</v>
      </c>
      <c r="E25" s="8">
        <f>INDEX('Customer Invoice Index'!$K$2:$K$26,MATCH(B25,'Customer Invoice Index'!$B$2:$B$26,0))</f>
        <v>16100</v>
      </c>
      <c r="F25" s="8">
        <f>SUMIFS('Payment Remittance Batch'!$O$2:$O$21,'Payment Remittance Batch'!$E$2:$E$21,B25)+SUMIFS('Payment Remittance Batch'!$M$2:$M$21,'Payment Remittance Batch'!$E$2:$E$21,B25)</f>
        <v>0</v>
      </c>
      <c r="G25" s="8">
        <f t="shared" si="0"/>
        <v>16100</v>
      </c>
      <c r="H25" s="6">
        <f t="shared" si="1"/>
        <v>11</v>
      </c>
      <c r="I25" s="6" t="str">
        <f t="shared" si="2"/>
        <v>Current (0-30 days)</v>
      </c>
    </row>
    <row r="26" spans="1:9" x14ac:dyDescent="0.35">
      <c r="A26" s="6">
        <v>10</v>
      </c>
      <c r="B26" s="6" t="s">
        <v>73</v>
      </c>
      <c r="C26" s="6" t="str">
        <f>INDEX('Customer Invoice Index'!$C$2:$C$26,MATCH(B26,'Customer Invoice Index'!$B$2:$B$26,0))</f>
        <v>Patriot Network Solutions</v>
      </c>
      <c r="D26" s="7">
        <f>INDEX('Customer Invoice Index'!$E$2:$E$26,MATCH(B26,'Customer Invoice Index'!$B$2:$B$26,0))</f>
        <v>46044</v>
      </c>
      <c r="E26" s="8">
        <f>INDEX('Customer Invoice Index'!$K$2:$K$26,MATCH(B26,'Customer Invoice Index'!$B$2:$B$26,0))</f>
        <v>9055.7999999999993</v>
      </c>
      <c r="F26" s="8">
        <f>SUMIFS('Payment Remittance Batch'!$O$2:$O$21,'Payment Remittance Batch'!$E$2:$E$21,B26)+SUMIFS('Payment Remittance Batch'!$M$2:$M$21,'Payment Remittance Batch'!$E$2:$E$21,B26)</f>
        <v>9000</v>
      </c>
      <c r="G26" s="8">
        <f t="shared" si="0"/>
        <v>55.799999999999272</v>
      </c>
      <c r="H26" s="6">
        <f t="shared" si="1"/>
        <v>9</v>
      </c>
      <c r="I26" s="6" t="str">
        <f t="shared" si="2"/>
        <v>Current (0-30 days)</v>
      </c>
    </row>
    <row r="27" spans="1:9" x14ac:dyDescent="0.35">
      <c r="A27" s="6">
        <v>11</v>
      </c>
      <c r="B27" s="6" t="s">
        <v>77</v>
      </c>
      <c r="C27" s="6" t="str">
        <f>INDEX('Customer Invoice Index'!$C$2:$C$26,MATCH(B27,'Customer Invoice Index'!$B$2:$B$26,0))</f>
        <v>Chesapeake Municipal Works</v>
      </c>
      <c r="D27" s="7">
        <f>INDEX('Customer Invoice Index'!$E$2:$E$26,MATCH(B27,'Customer Invoice Index'!$B$2:$B$26,0))</f>
        <v>46047</v>
      </c>
      <c r="E27" s="8">
        <f>INDEX('Customer Invoice Index'!$K$2:$K$26,MATCH(B27,'Customer Invoice Index'!$B$2:$B$26,0))</f>
        <v>10250</v>
      </c>
      <c r="F27" s="8">
        <f>SUMIFS('Payment Remittance Batch'!$O$2:$O$21,'Payment Remittance Batch'!$E$2:$E$21,B27)+SUMIFS('Payment Remittance Batch'!$M$2:$M$21,'Payment Remittance Batch'!$E$2:$E$21,B27)</f>
        <v>0</v>
      </c>
      <c r="G27" s="8">
        <f t="shared" si="0"/>
        <v>10250</v>
      </c>
      <c r="H27" s="6">
        <f t="shared" si="1"/>
        <v>6</v>
      </c>
      <c r="I27" s="6" t="str">
        <f t="shared" si="2"/>
        <v>Current (0-30 days)</v>
      </c>
    </row>
    <row r="28" spans="1:9" x14ac:dyDescent="0.35">
      <c r="A28" s="6">
        <v>12</v>
      </c>
      <c r="B28" s="6" t="s">
        <v>81</v>
      </c>
      <c r="C28" s="6" t="str">
        <f>INDEX('Customer Invoice Index'!$C$2:$C$26,MATCH(B28,'Customer Invoice Index'!$B$2:$B$26,0))</f>
        <v>Manassas Telecom Services</v>
      </c>
      <c r="D28" s="7">
        <f>INDEX('Customer Invoice Index'!$E$2:$E$26,MATCH(B28,'Customer Invoice Index'!$B$2:$B$26,0))</f>
        <v>46049</v>
      </c>
      <c r="E28" s="8">
        <f>INDEX('Customer Invoice Index'!$K$2:$K$26,MATCH(B28,'Customer Invoice Index'!$B$2:$B$26,0))</f>
        <v>7139.34</v>
      </c>
      <c r="F28" s="8">
        <f>SUMIFS('Payment Remittance Batch'!$O$2:$O$21,'Payment Remittance Batch'!$E$2:$E$21,B28)+SUMIFS('Payment Remittance Batch'!$M$2:$M$21,'Payment Remittance Batch'!$E$2:$E$21,B28)</f>
        <v>7139.34</v>
      </c>
      <c r="G28" s="8">
        <f t="shared" si="0"/>
        <v>0</v>
      </c>
      <c r="H28" s="6">
        <f t="shared" si="1"/>
        <v>4</v>
      </c>
      <c r="I28" s="6" t="str">
        <f t="shared" si="2"/>
        <v>Paid in Full</v>
      </c>
    </row>
    <row r="29" spans="1:9" x14ac:dyDescent="0.35">
      <c r="A29" s="6">
        <v>13</v>
      </c>
      <c r="B29" s="6" t="s">
        <v>85</v>
      </c>
      <c r="C29" s="6" t="str">
        <f>INDEX('Customer Invoice Index'!$C$2:$C$26,MATCH(B29,'Customer Invoice Index'!$B$2:$B$26,0))</f>
        <v>Blue Ridge Retail Fixtures</v>
      </c>
      <c r="D29" s="7">
        <f>INDEX('Customer Invoice Index'!$E$2:$E$26,MATCH(B29,'Customer Invoice Index'!$B$2:$B$26,0))</f>
        <v>46026</v>
      </c>
      <c r="E29" s="8">
        <f>INDEX('Customer Invoice Index'!$K$2:$K$26,MATCH(B29,'Customer Invoice Index'!$B$2:$B$26,0))</f>
        <v>10319.4</v>
      </c>
      <c r="F29" s="8">
        <f>SUMIFS('Payment Remittance Batch'!$O$2:$O$21,'Payment Remittance Batch'!$E$2:$E$21,B29)+SUMIFS('Payment Remittance Batch'!$M$2:$M$21,'Payment Remittance Batch'!$E$2:$E$21,B29)</f>
        <v>10500</v>
      </c>
      <c r="G29" s="8">
        <f t="shared" si="0"/>
        <v>-180.60000000000036</v>
      </c>
      <c r="H29" s="6">
        <f t="shared" si="1"/>
        <v>27</v>
      </c>
      <c r="I29" s="6" t="str">
        <f t="shared" si="2"/>
        <v>Current (0-30 days)</v>
      </c>
    </row>
    <row r="30" spans="1:9" x14ac:dyDescent="0.35">
      <c r="A30" s="6">
        <v>14</v>
      </c>
      <c r="B30" s="6" t="s">
        <v>89</v>
      </c>
      <c r="C30" s="6" t="str">
        <f>INDEX('Customer Invoice Index'!$C$2:$C$26,MATCH(B30,'Customer Invoice Index'!$B$2:$B$26,0))</f>
        <v>Shenandoah Builders</v>
      </c>
      <c r="D30" s="7">
        <f>INDEX('Customer Invoice Index'!$E$2:$E$26,MATCH(B30,'Customer Invoice Index'!$B$2:$B$26,0))</f>
        <v>46028</v>
      </c>
      <c r="E30" s="8">
        <f>INDEX('Customer Invoice Index'!$K$2:$K$26,MATCH(B30,'Customer Invoice Index'!$B$2:$B$26,0))</f>
        <v>14952.6</v>
      </c>
      <c r="F30" s="8">
        <f>SUMIFS('Payment Remittance Batch'!$O$2:$O$21,'Payment Remittance Batch'!$E$2:$E$21,B30)+SUMIFS('Payment Remittance Batch'!$M$2:$M$21,'Payment Remittance Batch'!$E$2:$E$21,B30)</f>
        <v>14668.6</v>
      </c>
      <c r="G30" s="8">
        <f t="shared" si="0"/>
        <v>284</v>
      </c>
      <c r="H30" s="6">
        <f t="shared" si="1"/>
        <v>25</v>
      </c>
      <c r="I30" s="6" t="str">
        <f t="shared" si="2"/>
        <v>Current (0-30 days)</v>
      </c>
    </row>
    <row r="31" spans="1:9" x14ac:dyDescent="0.35">
      <c r="A31" s="6">
        <v>15</v>
      </c>
      <c r="B31" s="6" t="s">
        <v>93</v>
      </c>
      <c r="C31" s="6" t="str">
        <f>INDEX('Customer Invoice Index'!$C$2:$C$26,MATCH(B31,'Customer Invoice Index'!$B$2:$B$26,0))</f>
        <v>Cardinal HVAC</v>
      </c>
      <c r="D31" s="7">
        <f>INDEX('Customer Invoice Index'!$E$2:$E$26,MATCH(B31,'Customer Invoice Index'!$B$2:$B$26,0))</f>
        <v>46031</v>
      </c>
      <c r="E31" s="8">
        <f>INDEX('Customer Invoice Index'!$K$2:$K$26,MATCH(B31,'Customer Invoice Index'!$B$2:$B$26,0))</f>
        <v>6739.2</v>
      </c>
      <c r="F31" s="8">
        <f>SUMIFS('Payment Remittance Batch'!$O$2:$O$21,'Payment Remittance Batch'!$E$2:$E$21,B31)+SUMIFS('Payment Remittance Batch'!$M$2:$M$21,'Payment Remittance Batch'!$E$2:$E$21,B31)</f>
        <v>6739.2</v>
      </c>
      <c r="G31" s="8">
        <f t="shared" si="0"/>
        <v>0</v>
      </c>
      <c r="H31" s="6">
        <f t="shared" si="1"/>
        <v>22</v>
      </c>
      <c r="I31" s="6" t="str">
        <f t="shared" si="2"/>
        <v>Paid in Full</v>
      </c>
    </row>
    <row r="32" spans="1:9" x14ac:dyDescent="0.35">
      <c r="A32" s="6">
        <v>16</v>
      </c>
      <c r="B32" s="6" t="s">
        <v>98</v>
      </c>
      <c r="C32" s="6" t="str">
        <f>INDEX('Customer Invoice Index'!$C$2:$C$26,MATCH(B32,'Customer Invoice Index'!$B$2:$B$26,0))</f>
        <v>Coastal Supply Co.</v>
      </c>
      <c r="D32" s="7">
        <f>INDEX('Customer Invoice Index'!$E$2:$E$26,MATCH(B32,'Customer Invoice Index'!$B$2:$B$26,0))</f>
        <v>46033</v>
      </c>
      <c r="E32" s="8">
        <f>INDEX('Customer Invoice Index'!$K$2:$K$26,MATCH(B32,'Customer Invoice Index'!$B$2:$B$26,0))</f>
        <v>20533.5</v>
      </c>
      <c r="F32" s="8">
        <f>SUMIFS('Payment Remittance Batch'!$O$2:$O$21,'Payment Remittance Batch'!$E$2:$E$21,B32)+SUMIFS('Payment Remittance Batch'!$M$2:$M$21,'Payment Remittance Batch'!$E$2:$E$21,B32)</f>
        <v>20533.5</v>
      </c>
      <c r="G32" s="8">
        <f t="shared" si="0"/>
        <v>0</v>
      </c>
      <c r="H32" s="6">
        <f t="shared" si="1"/>
        <v>20</v>
      </c>
      <c r="I32" s="6" t="str">
        <f t="shared" si="2"/>
        <v>Paid in Full</v>
      </c>
    </row>
    <row r="33" spans="1:9" x14ac:dyDescent="0.35">
      <c r="A33" s="6">
        <v>17</v>
      </c>
      <c r="B33" s="6" t="s">
        <v>102</v>
      </c>
      <c r="C33" s="6" t="str">
        <f>INDEX('Customer Invoice Index'!$C$2:$C$26,MATCH(B33,'Customer Invoice Index'!$B$2:$B$26,0))</f>
        <v>Metro Equipment</v>
      </c>
      <c r="D33" s="7">
        <f>INDEX('Customer Invoice Index'!$E$2:$E$26,MATCH(B33,'Customer Invoice Index'!$B$2:$B$26,0))</f>
        <v>46035</v>
      </c>
      <c r="E33" s="8">
        <f>INDEX('Customer Invoice Index'!$K$2:$K$26,MATCH(B33,'Customer Invoice Index'!$B$2:$B$26,0))</f>
        <v>13583.7</v>
      </c>
      <c r="F33" s="8">
        <f>SUMIFS('Payment Remittance Batch'!$O$2:$O$21,'Payment Remittance Batch'!$E$2:$E$21,B33)+SUMIFS('Payment Remittance Batch'!$M$2:$M$21,'Payment Remittance Batch'!$E$2:$E$21,B33)</f>
        <v>13583.7</v>
      </c>
      <c r="G33" s="8">
        <f t="shared" si="0"/>
        <v>0</v>
      </c>
      <c r="H33" s="6">
        <f t="shared" si="1"/>
        <v>18</v>
      </c>
      <c r="I33" s="6" t="str">
        <f t="shared" si="2"/>
        <v>Paid in Full</v>
      </c>
    </row>
    <row r="34" spans="1:9" x14ac:dyDescent="0.35">
      <c r="A34" s="6">
        <v>18</v>
      </c>
      <c r="B34" s="6" t="s">
        <v>106</v>
      </c>
      <c r="C34" s="6" t="str">
        <f>INDEX('Customer Invoice Index'!$C$2:$C$26,MATCH(B34,'Customer Invoice Index'!$B$2:$B$26,0))</f>
        <v>Old Dominion Components</v>
      </c>
      <c r="D34" s="7">
        <f>INDEX('Customer Invoice Index'!$E$2:$E$26,MATCH(B34,'Customer Invoice Index'!$B$2:$B$26,0))</f>
        <v>46036</v>
      </c>
      <c r="E34" s="8">
        <f>INDEX('Customer Invoice Index'!$K$2:$K$26,MATCH(B34,'Customer Invoice Index'!$B$2:$B$26,0))</f>
        <v>8739.9</v>
      </c>
      <c r="F34" s="8">
        <f>SUMIFS('Payment Remittance Batch'!$O$2:$O$21,'Payment Remittance Batch'!$E$2:$E$21,B34)+SUMIFS('Payment Remittance Batch'!$M$2:$M$21,'Payment Remittance Batch'!$E$2:$E$21,B34)</f>
        <v>8573.9</v>
      </c>
      <c r="G34" s="8">
        <f t="shared" si="0"/>
        <v>166</v>
      </c>
      <c r="H34" s="6">
        <f t="shared" si="1"/>
        <v>17</v>
      </c>
      <c r="I34" s="6" t="str">
        <f t="shared" si="2"/>
        <v>Current (0-30 days)</v>
      </c>
    </row>
    <row r="35" spans="1:9" x14ac:dyDescent="0.35">
      <c r="A35" s="6">
        <v>19</v>
      </c>
      <c r="B35" s="6" t="s">
        <v>110</v>
      </c>
      <c r="C35" s="6" t="str">
        <f>INDEX('Customer Invoice Index'!$C$2:$C$26,MATCH(B35,'Customer Invoice Index'!$B$2:$B$26,0))</f>
        <v>Potomac Builders</v>
      </c>
      <c r="D35" s="7">
        <f>INDEX('Customer Invoice Index'!$E$2:$E$26,MATCH(B35,'Customer Invoice Index'!$B$2:$B$26,0))</f>
        <v>46038</v>
      </c>
      <c r="E35" s="8">
        <f>INDEX('Customer Invoice Index'!$K$2:$K$26,MATCH(B35,'Customer Invoice Index'!$B$2:$B$26,0))</f>
        <v>18585.45</v>
      </c>
      <c r="F35" s="8">
        <f>SUMIFS('Payment Remittance Batch'!$O$2:$O$21,'Payment Remittance Batch'!$E$2:$E$21,B35)+SUMIFS('Payment Remittance Batch'!$M$2:$M$21,'Payment Remittance Batch'!$E$2:$E$21,B35)</f>
        <v>0</v>
      </c>
      <c r="G35" s="8">
        <f t="shared" si="0"/>
        <v>18585.45</v>
      </c>
      <c r="H35" s="6">
        <f t="shared" si="1"/>
        <v>15</v>
      </c>
      <c r="I35" s="6" t="str">
        <f t="shared" si="2"/>
        <v>Current (0-30 days)</v>
      </c>
    </row>
    <row r="36" spans="1:9" x14ac:dyDescent="0.35">
      <c r="A36" s="6">
        <v>20</v>
      </c>
      <c r="B36" s="6" t="s">
        <v>114</v>
      </c>
      <c r="C36" s="6" t="str">
        <f>INDEX('Customer Invoice Index'!$C$2:$C$26,MATCH(B36,'Customer Invoice Index'!$B$2:$B$26,0))</f>
        <v>Harbor Fixtures</v>
      </c>
      <c r="D36" s="7">
        <f>INDEX('Customer Invoice Index'!$E$2:$E$26,MATCH(B36,'Customer Invoice Index'!$B$2:$B$26,0))</f>
        <v>46041</v>
      </c>
      <c r="E36" s="8">
        <f>INDEX('Customer Invoice Index'!$K$2:$K$26,MATCH(B36,'Customer Invoice Index'!$B$2:$B$26,0))</f>
        <v>5370.3</v>
      </c>
      <c r="F36" s="8">
        <f>SUMIFS('Payment Remittance Batch'!$O$2:$O$21,'Payment Remittance Batch'!$E$2:$E$21,B36)+SUMIFS('Payment Remittance Batch'!$M$2:$M$21,'Payment Remittance Batch'!$E$2:$E$21,B36)</f>
        <v>5370.3</v>
      </c>
      <c r="G36" s="8">
        <f t="shared" si="0"/>
        <v>0</v>
      </c>
      <c r="H36" s="6">
        <f t="shared" si="1"/>
        <v>12</v>
      </c>
      <c r="I36" s="6" t="str">
        <f t="shared" si="2"/>
        <v>Paid in Full</v>
      </c>
    </row>
    <row r="37" spans="1:9" x14ac:dyDescent="0.35">
      <c r="A37" s="6">
        <v>21</v>
      </c>
      <c r="B37" s="6" t="s">
        <v>118</v>
      </c>
      <c r="C37" s="6" t="str">
        <f>INDEX('Customer Invoice Index'!$C$2:$C$26,MATCH(B37,'Customer Invoice Index'!$B$2:$B$26,0))</f>
        <v>Summit Contractors</v>
      </c>
      <c r="D37" s="7">
        <f>INDEX('Customer Invoice Index'!$E$2:$E$26,MATCH(B37,'Customer Invoice Index'!$B$2:$B$26,0))</f>
        <v>46043</v>
      </c>
      <c r="E37" s="8">
        <f>INDEX('Customer Invoice Index'!$K$2:$K$26,MATCH(B37,'Customer Invoice Index'!$B$2:$B$26,0))</f>
        <v>21300</v>
      </c>
      <c r="F37" s="8">
        <f>SUMIFS('Payment Remittance Batch'!$O$2:$O$21,'Payment Remittance Batch'!$E$2:$E$21,B37)+SUMIFS('Payment Remittance Batch'!$M$2:$M$21,'Payment Remittance Batch'!$E$2:$E$21,B37)</f>
        <v>21300</v>
      </c>
      <c r="G37" s="8">
        <f t="shared" si="0"/>
        <v>0</v>
      </c>
      <c r="H37" s="6">
        <f t="shared" si="1"/>
        <v>10</v>
      </c>
      <c r="I37" s="6" t="str">
        <f t="shared" si="2"/>
        <v>Paid in Full</v>
      </c>
    </row>
    <row r="38" spans="1:9" x14ac:dyDescent="0.35">
      <c r="A38" s="6">
        <v>22</v>
      </c>
      <c r="B38" s="6" t="s">
        <v>122</v>
      </c>
      <c r="C38" s="6" t="str">
        <f>INDEX('Customer Invoice Index'!$C$2:$C$26,MATCH(B38,'Customer Invoice Index'!$B$2:$B$26,0))</f>
        <v>Virginia Transit Parts</v>
      </c>
      <c r="D38" s="7">
        <f>INDEX('Customer Invoice Index'!$E$2:$E$26,MATCH(B38,'Customer Invoice Index'!$B$2:$B$26,0))</f>
        <v>46045</v>
      </c>
      <c r="E38" s="8">
        <f>INDEX('Customer Invoice Index'!$K$2:$K$26,MATCH(B38,'Customer Invoice Index'!$B$2:$B$26,0))</f>
        <v>11319.75</v>
      </c>
      <c r="F38" s="8">
        <f>SUMIFS('Payment Remittance Batch'!$O$2:$O$21,'Payment Remittance Batch'!$E$2:$E$21,B38)+SUMIFS('Payment Remittance Batch'!$M$2:$M$21,'Payment Remittance Batch'!$E$2:$E$21,B38)</f>
        <v>10800</v>
      </c>
      <c r="G38" s="8">
        <f t="shared" si="0"/>
        <v>519.75</v>
      </c>
      <c r="H38" s="6">
        <f t="shared" si="1"/>
        <v>8</v>
      </c>
      <c r="I38" s="6" t="str">
        <f t="shared" si="2"/>
        <v>Current (0-30 days)</v>
      </c>
    </row>
    <row r="39" spans="1:9" x14ac:dyDescent="0.35">
      <c r="A39" s="6">
        <v>23</v>
      </c>
      <c r="B39" s="6" t="s">
        <v>126</v>
      </c>
      <c r="C39" s="6" t="str">
        <f>INDEX('Customer Invoice Index'!$C$2:$C$26,MATCH(B39,'Customer Invoice Index'!$B$2:$B$26,0))</f>
        <v>Appalachian Retail Group</v>
      </c>
      <c r="D39" s="7">
        <f>INDEX('Customer Invoice Index'!$E$2:$E$26,MATCH(B39,'Customer Invoice Index'!$B$2:$B$26,0))</f>
        <v>46046</v>
      </c>
      <c r="E39" s="8">
        <f>INDEX('Customer Invoice Index'!$K$2:$K$26,MATCH(B39,'Customer Invoice Index'!$B$2:$B$26,0))</f>
        <v>8002.8</v>
      </c>
      <c r="F39" s="8">
        <f>SUMIFS('Payment Remittance Batch'!$O$2:$O$21,'Payment Remittance Batch'!$E$2:$E$21,B39)+SUMIFS('Payment Remittance Batch'!$M$2:$M$21,'Payment Remittance Batch'!$E$2:$E$21,B39)</f>
        <v>7850.8</v>
      </c>
      <c r="G39" s="8">
        <f t="shared" si="0"/>
        <v>152</v>
      </c>
      <c r="H39" s="6">
        <f t="shared" si="1"/>
        <v>7</v>
      </c>
      <c r="I39" s="6" t="str">
        <f t="shared" si="2"/>
        <v>Current (0-30 days)</v>
      </c>
    </row>
    <row r="40" spans="1:9" x14ac:dyDescent="0.35">
      <c r="A40" s="6">
        <v>24</v>
      </c>
      <c r="B40" s="6" t="s">
        <v>130</v>
      </c>
      <c r="C40" s="6" t="str">
        <f>INDEX('Customer Invoice Index'!$C$2:$C$26,MATCH(B40,'Customer Invoice Index'!$B$2:$B$26,0))</f>
        <v>Chesapeake Fabricators</v>
      </c>
      <c r="D40" s="7">
        <f>INDEX('Customer Invoice Index'!$E$2:$E$26,MATCH(B40,'Customer Invoice Index'!$B$2:$B$26,0))</f>
        <v>46050</v>
      </c>
      <c r="E40" s="8">
        <f>INDEX('Customer Invoice Index'!$K$2:$K$26,MATCH(B40,'Customer Invoice Index'!$B$2:$B$26,0))</f>
        <v>13400</v>
      </c>
      <c r="F40" s="8">
        <f>SUMIFS('Payment Remittance Batch'!$O$2:$O$21,'Payment Remittance Batch'!$E$2:$E$21,B40)+SUMIFS('Payment Remittance Batch'!$M$2:$M$21,'Payment Remittance Batch'!$E$2:$E$21,B40)</f>
        <v>13400</v>
      </c>
      <c r="G40" s="8">
        <f t="shared" si="0"/>
        <v>0</v>
      </c>
      <c r="H40" s="6">
        <f t="shared" si="1"/>
        <v>3</v>
      </c>
      <c r="I40" s="6" t="str">
        <f t="shared" si="2"/>
        <v>Paid in Full</v>
      </c>
    </row>
    <row r="41" spans="1:9" x14ac:dyDescent="0.35">
      <c r="A41" s="6">
        <v>25</v>
      </c>
      <c r="B41" s="6" t="s">
        <v>134</v>
      </c>
      <c r="C41" s="6" t="str">
        <f>INDEX('Customer Invoice Index'!$C$2:$C$26,MATCH(B41,'Customer Invoice Index'!$B$2:$B$26,0))</f>
        <v>NOVA FiberBuild Contractors</v>
      </c>
      <c r="D41" s="7">
        <f>INDEX('Customer Invoice Index'!$E$2:$E$26,MATCH(B41,'Customer Invoice Index'!$B$2:$B$26,0))</f>
        <v>46052</v>
      </c>
      <c r="E41" s="8">
        <f>INDEX('Customer Invoice Index'!$K$2:$K$26,MATCH(B41,'Customer Invoice Index'!$B$2:$B$26,0))</f>
        <v>12530.7</v>
      </c>
      <c r="F41" s="8">
        <f>SUMIFS('Payment Remittance Batch'!$O$2:$O$21,'Payment Remittance Batch'!$E$2:$E$21,B41)+SUMIFS('Payment Remittance Batch'!$M$2:$M$21,'Payment Remittance Batch'!$E$2:$E$21,B41)</f>
        <v>0</v>
      </c>
      <c r="G41" s="8">
        <f t="shared" si="0"/>
        <v>12530.7</v>
      </c>
      <c r="H41" s="6">
        <f t="shared" si="1"/>
        <v>1</v>
      </c>
      <c r="I41" s="6" t="str">
        <f t="shared" si="2"/>
        <v>Current (0-30 days)</v>
      </c>
    </row>
  </sheetData>
  <mergeCells count="2">
    <mergeCell ref="A5:J5"/>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Customer Invoice Index</vt:lpstr>
      <vt:lpstr>Payment Remittance Batch</vt:lpstr>
      <vt:lpstr>Instructor Key</vt:lpstr>
      <vt:lpstr>AR Aging Snapshot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Abdullah Al Saki</cp:lastModifiedBy>
  <dcterms:created xsi:type="dcterms:W3CDTF">2026-07-15T20:37:15Z</dcterms:created>
  <dcterms:modified xsi:type="dcterms:W3CDTF">2026-07-15T20:38:10Z</dcterms:modified>
</cp:coreProperties>
</file>