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osting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4E79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ASSIGNMENT 1 — 50 Entry-Level Job Postings Analysis (rebuilt template, July 2026)</t>
        </is>
      </c>
    </row>
    <row r="3">
      <c r="A3" t="inlineStr">
        <is>
          <t>GOAL: collect 50 GENUINELY ENTRY-LEVEL postings (0-1 years) so course content stays calibrated to what employers actually ask for.</t>
        </is>
      </c>
    </row>
    <row r="5">
      <c r="A5" t="inlineStr">
        <is>
          <t>QUALIFYING TITLES: Staff Accountant (entry/junior), AP Clerk/Specialist, AR Clerk/Specialist, Junior Accountant,</t>
        </is>
      </c>
    </row>
    <row r="6">
      <c r="A6" t="inlineStr">
        <is>
          <t>Accounting Clerk/Assistant, Bookkeeper, Junior/Entry Financial Analyst.</t>
        </is>
      </c>
    </row>
    <row r="7">
      <c r="A7" t="inlineStr">
        <is>
          <t>DISQUALIFIED: anything requiring 2+ years, Senior/Lead/Manager/Supervisor titles, instructors, treasury roles,</t>
        </is>
      </c>
    </row>
    <row r="8">
      <c r="A8" t="inlineStr">
        <is>
          <t>government special-agent roles, audit seniors. (These appeared in v1 and skew every statistic.)</t>
        </is>
      </c>
    </row>
    <row r="10">
      <c r="A10" t="inlineStr">
        <is>
          <t>HOW TO FILL:</t>
        </is>
      </c>
    </row>
    <row r="11">
      <c r="A11" t="inlineStr">
        <is>
          <t>1. One row per posting on the Postings sheet. Use the dropdowns where provided.</t>
        </is>
      </c>
    </row>
    <row r="12">
      <c r="A12" t="inlineStr">
        <is>
          <t>2. Software and Skills columns: comma-separated, spelled consistently (e.g. 'Excel, QuickBooks, Bill.com').</t>
        </is>
      </c>
    </row>
    <row r="13">
      <c r="A13" t="inlineStr">
        <is>
          <t xml:space="preserve">   The Summary sheet counts by substring match, so consistent spelling matters.</t>
        </is>
      </c>
    </row>
    <row r="14">
      <c r="A14" t="inlineStr">
        <is>
          <t>3. CPA / Month-End Close / Reconciliation columns: Yes only if the posting text literally mentions it.</t>
        </is>
      </c>
    </row>
    <row r="15">
      <c r="A15" t="inlineStr">
        <is>
          <t>4. Salary: enter the posted range; leave blank if not disclosed (blanks are excluded from averages).</t>
        </is>
      </c>
    </row>
    <row r="16">
      <c r="A16" t="inlineStr">
        <is>
          <t>5. The Summary sheet computes everything automatically — do not type over its formula cells.</t>
        </is>
      </c>
    </row>
    <row r="18">
      <c r="A18" t="inlineStr">
        <is>
          <t>TIP: roughly a third of the v1 list (Job_Postings_Raw_List_v1_DRAFT.xlsx) qualifies — migrate those rows first.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28" customWidth="1" min="2" max="2"/>
    <col width="22" customWidth="1" min="3" max="3"/>
    <col width="16" customWidth="1" min="4" max="4"/>
    <col width="14" customWidth="1" min="5" max="5"/>
    <col width="18" customWidth="1" min="6" max="6"/>
    <col width="10" customWidth="1" min="7" max="7"/>
    <col width="12" customWidth="1" min="8" max="8"/>
    <col width="12" customWidth="1" min="9" max="9"/>
    <col width="14" customWidth="1" min="10" max="10"/>
    <col width="16" customWidth="1" min="11" max="11"/>
    <col width="30" customWidth="1" min="12" max="12"/>
    <col width="40" customWidth="1" min="13" max="13"/>
    <col width="12" customWidth="1" min="14" max="14"/>
    <col width="14" customWidth="1" min="15" max="15"/>
    <col width="14" customWidth="1" min="16" max="16"/>
    <col width="14" customWidth="1" min="17" max="17"/>
    <col width="30" customWidth="1" min="18" max="18"/>
    <col width="12" customWidth="1" min="19" max="19"/>
  </cols>
  <sheetData>
    <row r="1">
      <c r="A1" s="2" t="inlineStr">
        <is>
          <t>#</t>
        </is>
      </c>
      <c r="B1" s="2" t="inlineStr">
        <is>
          <t>Job Title</t>
        </is>
      </c>
      <c r="C1" s="2" t="inlineStr">
        <is>
          <t>Company</t>
        </is>
      </c>
      <c r="D1" s="2" t="inlineStr">
        <is>
          <t>Industry</t>
        </is>
      </c>
      <c r="E1" s="2" t="inlineStr">
        <is>
          <t>Company Size</t>
        </is>
      </c>
      <c r="F1" s="2" t="inlineStr">
        <is>
          <t>Location</t>
        </is>
      </c>
      <c r="G1" s="2" t="inlineStr">
        <is>
          <t>Work Mode</t>
        </is>
      </c>
      <c r="H1" s="2" t="inlineStr">
        <is>
          <t>Salary Min ($)</t>
        </is>
      </c>
      <c r="I1" s="2" t="inlineStr">
        <is>
          <t>Salary Max ($)</t>
        </is>
      </c>
      <c r="J1" s="2" t="inlineStr">
        <is>
          <t>Experience Req (yrs)</t>
        </is>
      </c>
      <c r="K1" s="2" t="inlineStr">
        <is>
          <t>Education Req</t>
        </is>
      </c>
      <c r="L1" s="2" t="inlineStr">
        <is>
          <t>Software (comma-sep)</t>
        </is>
      </c>
      <c r="M1" s="2" t="inlineStr">
        <is>
          <t>Skills (comma-sep)</t>
        </is>
      </c>
      <c r="N1" s="2" t="inlineStr">
        <is>
          <t>CPA Mentioned</t>
        </is>
      </c>
      <c r="O1" s="2" t="inlineStr">
        <is>
          <t>Month-End Close Mentioned</t>
        </is>
      </c>
      <c r="P1" s="2" t="inlineStr">
        <is>
          <t>Reconciliation Mentioned</t>
        </is>
      </c>
      <c r="Q1" s="2" t="inlineStr">
        <is>
          <t>Source Site</t>
        </is>
      </c>
      <c r="R1" s="2" t="inlineStr">
        <is>
          <t>Posting URL</t>
        </is>
      </c>
      <c r="S1" s="2" t="inlineStr">
        <is>
          <t>Date Collected</t>
        </is>
      </c>
    </row>
    <row r="2">
      <c r="A2" t="n">
        <v>1</v>
      </c>
      <c r="B2" t="inlineStr">
        <is>
          <t>Entry Level Accountant</t>
        </is>
      </c>
      <c r="C2" t="inlineStr">
        <is>
          <t>Robert Half (client confidential)</t>
        </is>
      </c>
      <c r="F2" t="inlineStr">
        <is>
          <t>Pierceton, IN</t>
        </is>
      </c>
      <c r="G2" t="inlineStr">
        <is>
          <t>Onsite</t>
        </is>
      </c>
      <c r="H2" t="n">
        <v>60000</v>
      </c>
      <c r="I2" t="n">
        <v>70000</v>
      </c>
      <c r="J2" t="inlineStr">
        <is>
          <t>0-1</t>
        </is>
      </c>
      <c r="K2" t="inlineStr">
        <is>
          <t>Not specified</t>
        </is>
      </c>
      <c r="L2" t="inlineStr">
        <is>
          <t>Excel, accounting software</t>
        </is>
      </c>
      <c r="M2" t="inlineStr">
        <is>
          <t>AP, AR, journal entries, bank reconciliation, account reconciliation, month-end reporting</t>
        </is>
      </c>
      <c r="N2" t="inlineStr">
        <is>
          <t>No</t>
        </is>
      </c>
      <c r="O2" t="inlineStr">
        <is>
          <t>Yes</t>
        </is>
      </c>
      <c r="P2" t="inlineStr">
        <is>
          <t>Yes</t>
        </is>
      </c>
      <c r="Q2" t="inlineStr">
        <is>
          <t>Robert Half</t>
        </is>
      </c>
      <c r="R2" t="inlineStr">
        <is>
          <t>https://www.roberthalf.com/us/en/job/pierceton-in/entry-level-accountant/01420-0013455295-usen</t>
        </is>
      </c>
    </row>
    <row r="3">
      <c r="A3" t="n">
        <v>2</v>
      </c>
      <c r="B3" t="inlineStr">
        <is>
          <t>Accountant - Entry Level</t>
        </is>
      </c>
      <c r="C3" t="inlineStr">
        <is>
          <t>Robert Half (client confidential)</t>
        </is>
      </c>
      <c r="F3" t="inlineStr">
        <is>
          <t>Ramsey/Mahwah, NJ</t>
        </is>
      </c>
      <c r="G3" t="inlineStr">
        <is>
          <t>Onsite</t>
        </is>
      </c>
      <c r="H3" t="n">
        <v>49400</v>
      </c>
      <c r="I3" t="n">
        <v>57200</v>
      </c>
      <c r="J3" t="inlineStr">
        <is>
          <t>0-1</t>
        </is>
      </c>
      <c r="K3" t="inlineStr">
        <is>
          <t>Not specified</t>
        </is>
      </c>
      <c r="L3" t="inlineStr">
        <is>
          <t>Excel, internal accounting systems</t>
        </is>
      </c>
      <c r="M3" t="inlineStr">
        <is>
          <t>AR, AP, bank reconciliation, account reconciliation, payment posting, data entry, collections</t>
        </is>
      </c>
      <c r="N3" t="inlineStr">
        <is>
          <t>No</t>
        </is>
      </c>
      <c r="O3" t="inlineStr">
        <is>
          <t>No</t>
        </is>
      </c>
      <c r="P3" t="inlineStr">
        <is>
          <t>Yes</t>
        </is>
      </c>
      <c r="Q3" t="inlineStr">
        <is>
          <t>Robert Half</t>
        </is>
      </c>
      <c r="R3" t="inlineStr">
        <is>
          <t>https://www.roberthalf.com/us/en/job/ramsey-nj/accountant-entry-level/02710-0013471284-usen</t>
        </is>
      </c>
    </row>
    <row r="4">
      <c r="A4" t="n">
        <v>3</v>
      </c>
      <c r="B4" t="inlineStr">
        <is>
          <t>Accountant - Entry Level</t>
        </is>
      </c>
      <c r="C4" t="inlineStr">
        <is>
          <t>Robert Half (client confidential)</t>
        </is>
      </c>
      <c r="D4" t="inlineStr">
        <is>
          <t>Luxury hospitality</t>
        </is>
      </c>
      <c r="F4" t="inlineStr">
        <is>
          <t>New York, NY</t>
        </is>
      </c>
      <c r="G4" t="inlineStr">
        <is>
          <t>Onsite</t>
        </is>
      </c>
      <c r="H4" t="n">
        <v>51376</v>
      </c>
      <c r="I4" t="n">
        <v>59488</v>
      </c>
      <c r="J4" t="inlineStr">
        <is>
          <t>0-1</t>
        </is>
      </c>
      <c r="K4" t="inlineStr">
        <is>
          <t>Not specified</t>
        </is>
      </c>
      <c r="L4" t="inlineStr">
        <is>
          <t>Excel, internal accounting system</t>
        </is>
      </c>
      <c r="M4" t="inlineStr">
        <is>
          <t>Daily cash reconciliation, credit card transaction review, cash balancing, variance follow-up</t>
        </is>
      </c>
      <c r="N4" t="inlineStr">
        <is>
          <t>No</t>
        </is>
      </c>
      <c r="O4" t="inlineStr">
        <is>
          <t>No</t>
        </is>
      </c>
      <c r="P4" t="inlineStr">
        <is>
          <t>Yes</t>
        </is>
      </c>
      <c r="Q4" t="inlineStr">
        <is>
          <t>Robert Half</t>
        </is>
      </c>
      <c r="R4" t="inlineStr">
        <is>
          <t>https://www.roberthalf.com/us/en/job/new-york-ny/accountant-entry-level/02941-0013468203-usen</t>
        </is>
      </c>
    </row>
    <row r="5">
      <c r="A5" t="n">
        <v>4</v>
      </c>
      <c r="B5" t="inlineStr">
        <is>
          <t>Accountant - Entry Level</t>
        </is>
      </c>
      <c r="C5" t="inlineStr">
        <is>
          <t>Robert Half (client confidential)</t>
        </is>
      </c>
      <c r="F5" t="inlineStr">
        <is>
          <t>Salt Lake City, UT</t>
        </is>
      </c>
      <c r="G5" t="inlineStr">
        <is>
          <t>Onsite</t>
        </is>
      </c>
      <c r="H5" t="n">
        <v>45448</v>
      </c>
      <c r="I5" t="n">
        <v>52624</v>
      </c>
      <c r="J5" t="inlineStr">
        <is>
          <t>0-1</t>
        </is>
      </c>
      <c r="K5" t="inlineStr">
        <is>
          <t>Not specified</t>
        </is>
      </c>
      <c r="L5" t="inlineStr">
        <is>
          <t>Not specified</t>
        </is>
      </c>
      <c r="M5" t="inlineStr">
        <is>
          <t>AP, AR, bank reconciliation, account reconciliation, journal entries, month-end close support</t>
        </is>
      </c>
      <c r="N5" t="inlineStr">
        <is>
          <t>No</t>
        </is>
      </c>
      <c r="O5" t="inlineStr">
        <is>
          <t>Yes</t>
        </is>
      </c>
      <c r="P5" t="inlineStr">
        <is>
          <t>Yes</t>
        </is>
      </c>
      <c r="Q5" t="inlineStr">
        <is>
          <t>Robert Half</t>
        </is>
      </c>
      <c r="R5" t="inlineStr">
        <is>
          <t>https://www.roberthalf.com/us/en/job/salt-lake-city-ut/accountant-entry-level/04210-0013460590-usen</t>
        </is>
      </c>
    </row>
    <row r="6">
      <c r="A6" t="n">
        <v>5</v>
      </c>
      <c r="B6" t="inlineStr">
        <is>
          <t>Contract Entry-Level Accounting Clerk</t>
        </is>
      </c>
      <c r="C6" t="inlineStr">
        <is>
          <t>Robert Half (client confidential)</t>
        </is>
      </c>
      <c r="F6" t="inlineStr">
        <is>
          <t>Stamford, CT</t>
        </is>
      </c>
      <c r="G6" t="inlineStr">
        <is>
          <t>Onsite</t>
        </is>
      </c>
      <c r="H6" t="n">
        <v>39520</v>
      </c>
      <c r="I6" t="n">
        <v>47840</v>
      </c>
      <c r="J6" t="inlineStr">
        <is>
          <t>0-1</t>
        </is>
      </c>
      <c r="K6" t="inlineStr">
        <is>
          <t>Associate/Bachelor preferred</t>
        </is>
      </c>
      <c r="L6" t="inlineStr">
        <is>
          <t>Excel, MS Office, accounting system</t>
        </is>
      </c>
      <c r="M6" t="inlineStr">
        <is>
          <t>Data entry AP/AR, filing, scanning, statement reconciliation, invoice processing</t>
        </is>
      </c>
      <c r="N6" t="inlineStr">
        <is>
          <t>No</t>
        </is>
      </c>
      <c r="O6" t="inlineStr">
        <is>
          <t>No</t>
        </is>
      </c>
      <c r="P6" t="inlineStr">
        <is>
          <t>Yes</t>
        </is>
      </c>
      <c r="Q6" t="inlineStr">
        <is>
          <t>Robert Half</t>
        </is>
      </c>
      <c r="R6" t="inlineStr">
        <is>
          <t>https://www.roberthalf.com/us/en/job/stamford-ct/accounting-clerk-entry-level/00720-9504355797-usen</t>
        </is>
      </c>
    </row>
    <row r="7">
      <c r="A7" t="n">
        <v>6</v>
      </c>
      <c r="B7" t="inlineStr">
        <is>
          <t>Entry Level Accountant</t>
        </is>
      </c>
      <c r="C7" t="inlineStr">
        <is>
          <t>Robert Half (client confidential)</t>
        </is>
      </c>
      <c r="D7" t="inlineStr">
        <is>
          <t>Transportation</t>
        </is>
      </c>
      <c r="F7" t="inlineStr">
        <is>
          <t>Georgetown, KY</t>
        </is>
      </c>
      <c r="G7" t="inlineStr">
        <is>
          <t>Hybrid</t>
        </is>
      </c>
      <c r="H7" t="n">
        <v>50000</v>
      </c>
      <c r="I7" t="n">
        <v>60000</v>
      </c>
      <c r="J7" t="inlineStr">
        <is>
          <t>1-2</t>
        </is>
      </c>
      <c r="K7" t="inlineStr">
        <is>
          <t>Bachelor's in Accounting</t>
        </is>
      </c>
      <c r="L7" t="inlineStr">
        <is>
          <t>Excel</t>
        </is>
      </c>
      <c r="M7" t="inlineStr">
        <is>
          <t>Month-end close, journal entries, bank/GL reconciliation, AP, AR, variance analysis</t>
        </is>
      </c>
      <c r="N7" t="inlineStr">
        <is>
          <t>No</t>
        </is>
      </c>
      <c r="O7" t="inlineStr">
        <is>
          <t>Yes</t>
        </is>
      </c>
      <c r="P7" t="inlineStr">
        <is>
          <t>Yes</t>
        </is>
      </c>
      <c r="Q7" t="inlineStr">
        <is>
          <t>Robert Half</t>
        </is>
      </c>
      <c r="R7" t="inlineStr">
        <is>
          <t>https://www.roberthalf.com/us/en/job/georgetown-ky/entry-level-accountant/01710-0013447941-usen</t>
        </is>
      </c>
    </row>
    <row r="8">
      <c r="A8" t="n">
        <v>7</v>
      </c>
      <c r="B8" t="inlineStr">
        <is>
          <t>Accountant - Entry Level</t>
        </is>
      </c>
      <c r="C8" t="inlineStr">
        <is>
          <t>Robert Half (client confidential)</t>
        </is>
      </c>
      <c r="F8" t="inlineStr">
        <is>
          <t>Woodbury, MN</t>
        </is>
      </c>
      <c r="G8" t="inlineStr">
        <is>
          <t>Onsite</t>
        </is>
      </c>
      <c r="H8" t="n">
        <v>41808</v>
      </c>
      <c r="I8" t="n">
        <v>48464</v>
      </c>
      <c r="J8" t="inlineStr">
        <is>
          <t>0-1</t>
        </is>
      </c>
      <c r="K8" t="inlineStr">
        <is>
          <t>Associate's suggested</t>
        </is>
      </c>
      <c r="L8" t="inlineStr">
        <is>
          <t>Excel, QuickBooks, Great Plains</t>
        </is>
      </c>
      <c r="M8" t="inlineStr">
        <is>
          <t>Data entry, monthly journal entries, discrepancy correction, full-cycle AP/AR</t>
        </is>
      </c>
      <c r="N8" t="inlineStr">
        <is>
          <t>No</t>
        </is>
      </c>
      <c r="O8" t="inlineStr">
        <is>
          <t>No</t>
        </is>
      </c>
      <c r="P8" t="inlineStr">
        <is>
          <t>Yes</t>
        </is>
      </c>
      <c r="Q8" t="inlineStr">
        <is>
          <t>Robert Half</t>
        </is>
      </c>
      <c r="R8" t="inlineStr">
        <is>
          <t>https://www.roberthalf.com/us/en/job/woodbury-mn/accountant-entry-level/02320-9504360477-usen</t>
        </is>
      </c>
    </row>
    <row r="9">
      <c r="A9" t="n">
        <v>8</v>
      </c>
      <c r="B9" t="inlineStr">
        <is>
          <t>Accountant - Entry Level</t>
        </is>
      </c>
      <c r="C9" t="inlineStr">
        <is>
          <t>Robert Half (client confidential)</t>
        </is>
      </c>
      <c r="D9" t="inlineStr">
        <is>
          <t>Retail</t>
        </is>
      </c>
      <c r="F9" t="inlineStr">
        <is>
          <t>Vernon-Rockville, CT</t>
        </is>
      </c>
      <c r="G9" t="inlineStr">
        <is>
          <t>Onsite</t>
        </is>
      </c>
      <c r="H9" t="n">
        <v>49400</v>
      </c>
      <c r="I9" t="n">
        <v>57200</v>
      </c>
      <c r="J9" t="inlineStr">
        <is>
          <t>0-1</t>
        </is>
      </c>
      <c r="K9" t="inlineStr">
        <is>
          <t>Not specified</t>
        </is>
      </c>
      <c r="L9" t="inlineStr">
        <is>
          <t>Not specified</t>
        </is>
      </c>
      <c r="M9" t="inlineStr">
        <is>
          <t>AP, bank/account reconciliation, journal entries, AR/customer invoicing</t>
        </is>
      </c>
      <c r="N9" t="inlineStr">
        <is>
          <t>No</t>
        </is>
      </c>
      <c r="O9" t="inlineStr">
        <is>
          <t>Yes</t>
        </is>
      </c>
      <c r="P9" t="inlineStr">
        <is>
          <t>Yes</t>
        </is>
      </c>
      <c r="Q9" t="inlineStr">
        <is>
          <t>Robert Half</t>
        </is>
      </c>
      <c r="R9" t="inlineStr">
        <is>
          <t>https://www.roberthalf.com/us/en/job/vernon-rockville-ct/accountant-entry-level/00700-0013466650-usen</t>
        </is>
      </c>
    </row>
    <row r="10">
      <c r="A10" t="n">
        <v>9</v>
      </c>
      <c r="B10" t="inlineStr">
        <is>
          <t>Accountant - Entry Level</t>
        </is>
      </c>
      <c r="C10" t="inlineStr">
        <is>
          <t>Robert Half (client confidential)</t>
        </is>
      </c>
      <c r="D10" t="inlineStr">
        <is>
          <t>Manufacturing</t>
        </is>
      </c>
      <c r="F10" t="inlineStr">
        <is>
          <t>Parsippany, NJ</t>
        </is>
      </c>
      <c r="G10" t="inlineStr">
        <is>
          <t>Onsite</t>
        </is>
      </c>
      <c r="H10" t="n">
        <v>49400</v>
      </c>
      <c r="I10" t="n">
        <v>57200</v>
      </c>
      <c r="J10" t="inlineStr">
        <is>
          <t>0-1</t>
        </is>
      </c>
      <c r="K10" t="inlineStr">
        <is>
          <t>Not specified</t>
        </is>
      </c>
      <c r="L10" t="inlineStr">
        <is>
          <t>Dynamics NAV, Adobe Acrobat</t>
        </is>
      </c>
      <c r="M10" t="inlineStr">
        <is>
          <t>Account reconciliation, journal entries, month-end tasks, AP, account coding</t>
        </is>
      </c>
      <c r="N10" t="inlineStr">
        <is>
          <t>No</t>
        </is>
      </c>
      <c r="O10" t="inlineStr">
        <is>
          <t>Yes</t>
        </is>
      </c>
      <c r="P10" t="inlineStr">
        <is>
          <t>Yes</t>
        </is>
      </c>
      <c r="Q10" t="inlineStr">
        <is>
          <t>Robert Half</t>
        </is>
      </c>
      <c r="R10" t="inlineStr">
        <is>
          <t>https://www.roberthalf.com/us/en/job/parsippany-nj/accountant-entry-level/02750-0013463404-usen</t>
        </is>
      </c>
    </row>
    <row r="11">
      <c r="A11" t="n">
        <v>10</v>
      </c>
      <c r="B11" t="inlineStr">
        <is>
          <t>Entry Level Accounting Team Member</t>
        </is>
      </c>
      <c r="C11" t="inlineStr">
        <is>
          <t>Robert Half (client confidential)</t>
        </is>
      </c>
      <c r="D11" t="inlineStr">
        <is>
          <t>Energy/Natural Resources</t>
        </is>
      </c>
      <c r="F11" t="inlineStr">
        <is>
          <t>Parsippany, NJ</t>
        </is>
      </c>
      <c r="G11" t="inlineStr">
        <is>
          <t>Onsite</t>
        </is>
      </c>
      <c r="H11" t="n">
        <v>43472</v>
      </c>
      <c r="I11" t="n">
        <v>50336</v>
      </c>
      <c r="J11" t="inlineStr">
        <is>
          <t>0-1</t>
        </is>
      </c>
      <c r="K11" t="inlineStr">
        <is>
          <t>Not specified</t>
        </is>
      </c>
      <c r="L11" t="inlineStr">
        <is>
          <t>SAP</t>
        </is>
      </c>
      <c r="M11" t="inlineStr">
        <is>
          <t>Vendor invoice processing, payment review, AP operations, invoice reconciliation vs POs</t>
        </is>
      </c>
      <c r="N11" t="inlineStr">
        <is>
          <t>No</t>
        </is>
      </c>
      <c r="O11" t="inlineStr">
        <is>
          <t>No</t>
        </is>
      </c>
      <c r="P11" t="inlineStr">
        <is>
          <t>Yes</t>
        </is>
      </c>
      <c r="Q11" t="inlineStr">
        <is>
          <t>Robert Half</t>
        </is>
      </c>
      <c r="R11" t="inlineStr">
        <is>
          <t>https://www.roberthalf.com/us/en/job/parsippany-nj/entry-level/02750-0013466646-usen</t>
        </is>
      </c>
    </row>
    <row r="12">
      <c r="A12" t="n">
        <v>11</v>
      </c>
      <c r="B12" t="inlineStr">
        <is>
          <t>Entry Level Accountant</t>
        </is>
      </c>
      <c r="C12" t="inlineStr">
        <is>
          <t>Robert Half (client confidential)</t>
        </is>
      </c>
      <c r="D12" t="inlineStr">
        <is>
          <t>Transportation</t>
        </is>
      </c>
      <c r="F12" t="inlineStr">
        <is>
          <t>Georgetown, KY</t>
        </is>
      </c>
      <c r="G12" t="inlineStr">
        <is>
          <t>Onsite</t>
        </is>
      </c>
      <c r="H12" t="n">
        <v>60000</v>
      </c>
      <c r="I12" t="n">
        <v>65000</v>
      </c>
      <c r="J12" t="inlineStr">
        <is>
          <t>1-2</t>
        </is>
      </c>
      <c r="K12" t="inlineStr">
        <is>
          <t>Bachelor's in Accounting required</t>
        </is>
      </c>
      <c r="L12" t="inlineStr">
        <is>
          <t>Excel</t>
        </is>
      </c>
      <c r="M12" t="inlineStr">
        <is>
          <t>Month-end close, journal entries, bank/GL reconciliation, AP, AR, financial statement prep</t>
        </is>
      </c>
      <c r="N12" t="inlineStr">
        <is>
          <t>No</t>
        </is>
      </c>
      <c r="O12" t="inlineStr">
        <is>
          <t>Yes</t>
        </is>
      </c>
      <c r="P12" t="inlineStr">
        <is>
          <t>Yes</t>
        </is>
      </c>
      <c r="Q12" t="inlineStr">
        <is>
          <t>Robert Half</t>
        </is>
      </c>
      <c r="R12" t="inlineStr">
        <is>
          <t>https://www.roberthalf.com/us/en/job/georgetown-ky/entry-level-accountant/01710-0013461244-usen</t>
        </is>
      </c>
    </row>
    <row r="13">
      <c r="A13" t="n">
        <v>12</v>
      </c>
      <c r="B13" t="inlineStr">
        <is>
          <t>Accountant - Entry Level</t>
        </is>
      </c>
      <c r="C13" t="inlineStr">
        <is>
          <t>Robert Half (client confidential)</t>
        </is>
      </c>
      <c r="F13" t="inlineStr">
        <is>
          <t>New York, NY</t>
        </is>
      </c>
      <c r="G13" t="inlineStr">
        <is>
          <t>Onsite</t>
        </is>
      </c>
      <c r="H13" t="n">
        <v>47424</v>
      </c>
      <c r="I13" t="n">
        <v>54912</v>
      </c>
      <c r="J13" t="inlineStr">
        <is>
          <t>0-1</t>
        </is>
      </c>
      <c r="K13" t="inlineStr">
        <is>
          <t>Not specified</t>
        </is>
      </c>
      <c r="L13" t="inlineStr">
        <is>
          <t>QuickBooks</t>
        </is>
      </c>
      <c r="M13" t="inlineStr">
        <is>
          <t>Vendor payment processing, AP management, account reconciliation, GL review, admin support</t>
        </is>
      </c>
      <c r="N13" t="inlineStr">
        <is>
          <t>No</t>
        </is>
      </c>
      <c r="O13" t="inlineStr">
        <is>
          <t>No</t>
        </is>
      </c>
      <c r="P13" t="inlineStr">
        <is>
          <t>Yes</t>
        </is>
      </c>
      <c r="Q13" t="inlineStr">
        <is>
          <t>Robert Half</t>
        </is>
      </c>
      <c r="R13" t="inlineStr">
        <is>
          <t>https://www.roberthalf.com/us/en/job/new-york-ny/accountant-entry-level/02941-0013469367-usen</t>
        </is>
      </c>
    </row>
    <row r="14">
      <c r="A14" t="n">
        <v>13</v>
      </c>
      <c r="B14" t="inlineStr">
        <is>
          <t>Financial Analyst - Entry Level</t>
        </is>
      </c>
      <c r="C14" t="inlineStr">
        <is>
          <t>Robert Half (client confidential)</t>
        </is>
      </c>
      <c r="D14" t="inlineStr">
        <is>
          <t>Financial services</t>
        </is>
      </c>
      <c r="F14" t="inlineStr">
        <is>
          <t>Melville, NY</t>
        </is>
      </c>
      <c r="G14" t="inlineStr">
        <is>
          <t>Onsite</t>
        </is>
      </c>
      <c r="H14" t="n">
        <v>47840</v>
      </c>
      <c r="I14" t="n">
        <v>52000</v>
      </c>
      <c r="J14" t="inlineStr">
        <is>
          <t>0</t>
        </is>
      </c>
      <c r="K14" t="inlineStr">
        <is>
          <t>Bachelor's or Associate's</t>
        </is>
      </c>
      <c r="L14" t="inlineStr">
        <is>
          <t>Excel, MS Office</t>
        </is>
      </c>
      <c r="M14" t="inlineStr">
        <is>
          <t>Financial data review/entry, account maintenance, routine reporting</t>
        </is>
      </c>
      <c r="N14" t="inlineStr">
        <is>
          <t>No</t>
        </is>
      </c>
      <c r="O14" t="inlineStr">
        <is>
          <t>No</t>
        </is>
      </c>
      <c r="P14" t="inlineStr">
        <is>
          <t>No</t>
        </is>
      </c>
      <c r="Q14" t="inlineStr">
        <is>
          <t>Robert Half</t>
        </is>
      </c>
      <c r="R14" t="inlineStr">
        <is>
          <t>https://www.roberthalf.com/us/en/job/melville-ny/financial-analyst-entry-level/02930-0013465888-usen</t>
        </is>
      </c>
    </row>
    <row r="15">
      <c r="A15" t="n">
        <v>14</v>
      </c>
      <c r="B15" t="inlineStr">
        <is>
          <t>Financial Analyst - Entry Level</t>
        </is>
      </c>
      <c r="C15" t="inlineStr">
        <is>
          <t>Robert Half (client confidential)</t>
        </is>
      </c>
      <c r="F15" t="inlineStr">
        <is>
          <t>Menlo Park, CA</t>
        </is>
      </c>
      <c r="G15" t="inlineStr">
        <is>
          <t>Temp-to-hire</t>
        </is>
      </c>
      <c r="H15" t="n">
        <v>70928</v>
      </c>
      <c r="I15" t="n">
        <v>82118</v>
      </c>
      <c r="J15" t="inlineStr">
        <is>
          <t>0-1</t>
        </is>
      </c>
      <c r="K15" t="inlineStr">
        <is>
          <t>Bachelor's in Finance/Accounting/Econ/Business</t>
        </is>
      </c>
      <c r="L15" t="inlineStr">
        <is>
          <t>Google Sheets, Bloomberg Terminal</t>
        </is>
      </c>
      <c r="M15" t="inlineStr">
        <is>
          <t>Budget tracking, variance analysis, cost monitoring, forecasting, executive reporting</t>
        </is>
      </c>
      <c r="N15" t="inlineStr">
        <is>
          <t>No</t>
        </is>
      </c>
      <c r="O15" t="inlineStr">
        <is>
          <t>No</t>
        </is>
      </c>
      <c r="P15" t="inlineStr">
        <is>
          <t>No</t>
        </is>
      </c>
      <c r="Q15" t="inlineStr">
        <is>
          <t>Robert Half</t>
        </is>
      </c>
      <c r="R15" t="inlineStr">
        <is>
          <t>https://www.roberthalf.com/us/en/job/menlo-park-ca/financial-analyst-entry-level/00370-0013466940-usen</t>
        </is>
      </c>
    </row>
    <row r="16">
      <c r="A16" t="n">
        <v>15</v>
      </c>
      <c r="B16" t="inlineStr">
        <is>
          <t>Financial Analyst - Entry Level</t>
        </is>
      </c>
      <c r="C16" t="inlineStr">
        <is>
          <t>Robert Half (client confidential)</t>
        </is>
      </c>
      <c r="F16" t="inlineStr">
        <is>
          <t>Wyomissing, PA</t>
        </is>
      </c>
      <c r="G16" t="inlineStr">
        <is>
          <t>Onsite</t>
        </is>
      </c>
      <c r="H16" t="n">
        <v>47840</v>
      </c>
      <c r="I16" t="n">
        <v>60320</v>
      </c>
      <c r="J16" t="inlineStr">
        <is>
          <t>0-1</t>
        </is>
      </c>
      <c r="K16" t="inlineStr">
        <is>
          <t>Bachelor's in Finance/Accounting/Econ/Business</t>
        </is>
      </c>
      <c r="L16" t="inlineStr">
        <is>
          <t>Bloomberg Terminal, spreadsheets, dashboards</t>
        </is>
      </c>
      <c r="M16" t="inlineStr">
        <is>
          <t>Financial data analysis, report prep, market research, dashboard maintenance, variance analysis</t>
        </is>
      </c>
      <c r="N16" t="inlineStr">
        <is>
          <t>No</t>
        </is>
      </c>
      <c r="O16" t="inlineStr">
        <is>
          <t>No</t>
        </is>
      </c>
      <c r="P16" t="inlineStr">
        <is>
          <t>No</t>
        </is>
      </c>
      <c r="Q16" t="inlineStr">
        <is>
          <t>Robert Half</t>
        </is>
      </c>
      <c r="R16" t="inlineStr">
        <is>
          <t>https://www.roberthalf.com/us/en/job/wyomissing-pa/financial-analyst-entry-level/03770-0013469671-usen</t>
        </is>
      </c>
    </row>
    <row r="17">
      <c r="A17" t="n">
        <v>16</v>
      </c>
      <c r="B17" t="inlineStr">
        <is>
          <t>Entry Level Analyst</t>
        </is>
      </c>
      <c r="C17" t="inlineStr">
        <is>
          <t>Robert Half (client confidential)</t>
        </is>
      </c>
      <c r="F17" t="inlineStr">
        <is>
          <t>Dublin, CA</t>
        </is>
      </c>
      <c r="G17" t="inlineStr">
        <is>
          <t>Onsite</t>
        </is>
      </c>
      <c r="H17" t="n">
        <v>49920</v>
      </c>
      <c r="I17" t="n">
        <v>58240</v>
      </c>
      <c r="J17" t="inlineStr">
        <is>
          <t>0-1</t>
        </is>
      </c>
      <c r="K17" t="inlineStr">
        <is>
          <t>Bachelor's preferred</t>
        </is>
      </c>
      <c r="L17" t="inlineStr">
        <is>
          <t>Excel, MS Office</t>
        </is>
      </c>
      <c r="M17" t="inlineStr">
        <is>
          <t>Data gathering, spreadsheet prep, report creation, trend/inconsistency identification</t>
        </is>
      </c>
      <c r="N17" t="inlineStr">
        <is>
          <t>No</t>
        </is>
      </c>
      <c r="O17" t="inlineStr">
        <is>
          <t>No</t>
        </is>
      </c>
      <c r="P17" t="inlineStr">
        <is>
          <t>No</t>
        </is>
      </c>
      <c r="Q17" t="inlineStr">
        <is>
          <t>Robert Half</t>
        </is>
      </c>
      <c r="R17" t="inlineStr">
        <is>
          <t>https://www.roberthalf.com/us/en/job/dublin-ca/entry-level-analyst/00470-9504355726-usen</t>
        </is>
      </c>
    </row>
    <row r="18">
      <c r="A18" t="n">
        <v>17</v>
      </c>
      <c r="B18" t="inlineStr">
        <is>
          <t>Entry Level Analyst</t>
        </is>
      </c>
      <c r="C18" t="inlineStr">
        <is>
          <t>Robert Half (client confidential)</t>
        </is>
      </c>
      <c r="F18" t="inlineStr">
        <is>
          <t>San Ramon, CA</t>
        </is>
      </c>
      <c r="G18" t="inlineStr">
        <is>
          <t>Temp-to-hire</t>
        </is>
      </c>
      <c r="H18" t="n">
        <v>49920</v>
      </c>
      <c r="I18" t="n">
        <v>58240</v>
      </c>
      <c r="J18" t="inlineStr">
        <is>
          <t>0-1</t>
        </is>
      </c>
      <c r="K18" t="inlineStr">
        <is>
          <t>Bachelor's preferred</t>
        </is>
      </c>
      <c r="L18" t="inlineStr">
        <is>
          <t>Excel, MS Office</t>
        </is>
      </c>
      <c r="M18" t="inlineStr">
        <is>
          <t>Data analysis, report/dashboard prep, trend ID, data integrity, cross-team support</t>
        </is>
      </c>
      <c r="N18" t="inlineStr">
        <is>
          <t>No</t>
        </is>
      </c>
      <c r="O18" t="inlineStr">
        <is>
          <t>No</t>
        </is>
      </c>
      <c r="P18" t="inlineStr">
        <is>
          <t>No</t>
        </is>
      </c>
      <c r="Q18" t="inlineStr">
        <is>
          <t>Robert Half</t>
        </is>
      </c>
      <c r="R18" t="inlineStr">
        <is>
          <t>https://www.roberthalf.com/us/en/job/san-ramon-ca/entry-level-analyst/00470-9504355724-usen</t>
        </is>
      </c>
    </row>
    <row r="19">
      <c r="A19" t="n">
        <v>18</v>
      </c>
      <c r="B19" t="inlineStr">
        <is>
          <t>Entry Level Analyst</t>
        </is>
      </c>
      <c r="C19" t="inlineStr">
        <is>
          <t>Robert Half (client confidential)</t>
        </is>
      </c>
      <c r="E19" t="inlineStr">
        <is>
          <t>Large (staffing firm)</t>
        </is>
      </c>
      <c r="F19" t="inlineStr">
        <is>
          <t>Bothell, WA</t>
        </is>
      </c>
      <c r="G19" t="inlineStr">
        <is>
          <t>Onsite</t>
        </is>
      </c>
      <c r="H19" t="n">
        <v>62400</v>
      </c>
      <c r="I19" t="n">
        <v>83200</v>
      </c>
      <c r="J19" t="inlineStr">
        <is>
          <t>0-1</t>
        </is>
      </c>
      <c r="K19" t="inlineStr">
        <is>
          <t>Bachelor's preferred</t>
        </is>
      </c>
      <c r="L19" t="inlineStr">
        <is>
          <t>Workday, Excel</t>
        </is>
      </c>
      <c r="M19" t="inlineStr">
        <is>
          <t>Data entry/reporting, data validation/auditing, trend analysis, large dataset handling</t>
        </is>
      </c>
      <c r="N19" t="inlineStr">
        <is>
          <t>No</t>
        </is>
      </c>
      <c r="O19" t="inlineStr">
        <is>
          <t>No</t>
        </is>
      </c>
      <c r="P19" t="inlineStr">
        <is>
          <t>No</t>
        </is>
      </c>
      <c r="Q19" t="inlineStr">
        <is>
          <t>Robert Half</t>
        </is>
      </c>
      <c r="R19" t="inlineStr">
        <is>
          <t>https://www.roberthalf.com/us/en/job/bothell-wa/entry-level-analyst/03640-9504357825-usen</t>
        </is>
      </c>
    </row>
    <row r="20">
      <c r="A20" t="n">
        <v>19</v>
      </c>
      <c r="B20" t="inlineStr">
        <is>
          <t>Accounts Payable Clerk</t>
        </is>
      </c>
      <c r="C20" t="inlineStr">
        <is>
          <t>Robert Half (client confidential)</t>
        </is>
      </c>
      <c r="F20" t="inlineStr">
        <is>
          <t>Dallas, TX</t>
        </is>
      </c>
      <c r="G20" t="inlineStr">
        <is>
          <t>Onsite</t>
        </is>
      </c>
      <c r="H20" t="n">
        <v>55328</v>
      </c>
      <c r="I20" t="n">
        <v>64064</v>
      </c>
      <c r="J20" t="inlineStr">
        <is>
          <t>0-1</t>
        </is>
      </c>
      <c r="K20" t="inlineStr">
        <is>
          <t>Not specified</t>
        </is>
      </c>
      <c r="L20" t="inlineStr">
        <is>
          <t>PeopleSoft</t>
        </is>
      </c>
      <c r="M20" t="inlineStr">
        <is>
          <t>Invoice review, GL coding, payment processing, 1099 prep, vendor workflow</t>
        </is>
      </c>
      <c r="N20" t="inlineStr">
        <is>
          <t>No</t>
        </is>
      </c>
      <c r="O20" t="inlineStr">
        <is>
          <t>No</t>
        </is>
      </c>
      <c r="P20" t="inlineStr">
        <is>
          <t>No</t>
        </is>
      </c>
      <c r="Q20" t="inlineStr">
        <is>
          <t>Robert Half</t>
        </is>
      </c>
      <c r="R20" t="inlineStr">
        <is>
          <t>https://www.roberthalf.com/us/en/job/dallas-tx/accounts-payable-clerk/04120-0013463310-usen</t>
        </is>
      </c>
    </row>
    <row r="21">
      <c r="A21" t="n">
        <v>20</v>
      </c>
      <c r="B21" t="inlineStr">
        <is>
          <t>Accounts Payable Clerk</t>
        </is>
      </c>
      <c r="C21" t="inlineStr">
        <is>
          <t>Robert Half (client confidential)</t>
        </is>
      </c>
      <c r="F21" t="inlineStr">
        <is>
          <t>Columbus, OH</t>
        </is>
      </c>
      <c r="G21" t="inlineStr">
        <is>
          <t>Onsite</t>
        </is>
      </c>
      <c r="H21" t="n">
        <v>43680</v>
      </c>
      <c r="I21" t="n">
        <v>49920</v>
      </c>
      <c r="J21" t="inlineStr">
        <is>
          <t>0-1</t>
        </is>
      </c>
      <c r="K21" t="inlineStr">
        <is>
          <t>Not specified</t>
        </is>
      </c>
      <c r="L21" t="inlineStr">
        <is>
          <t>Dynamics 365 F&amp;O (D365)</t>
        </is>
      </c>
      <c r="M21" t="inlineStr">
        <is>
          <t>Invoice review, accounting code assignment, discrepancy investigation, email/documentation</t>
        </is>
      </c>
      <c r="N21" t="inlineStr">
        <is>
          <t>No</t>
        </is>
      </c>
      <c r="O21" t="inlineStr">
        <is>
          <t>No</t>
        </is>
      </c>
      <c r="P21" t="inlineStr">
        <is>
          <t>No</t>
        </is>
      </c>
      <c r="Q21" t="inlineStr">
        <is>
          <t>Robert Half</t>
        </is>
      </c>
      <c r="R21" t="inlineStr">
        <is>
          <t>https://www.roberthalf.com/us/en/job/columbus-oh/accounts-payable-clerk/03360-0013468339-usen</t>
        </is>
      </c>
    </row>
    <row r="22">
      <c r="A22" t="n">
        <v>21</v>
      </c>
      <c r="B22" t="inlineStr">
        <is>
          <t>Accounts Payable Clerk</t>
        </is>
      </c>
      <c r="C22" t="inlineStr">
        <is>
          <t>Robert Half (client confidential)</t>
        </is>
      </c>
      <c r="F22" t="inlineStr">
        <is>
          <t>Naples, FL</t>
        </is>
      </c>
      <c r="G22" t="inlineStr">
        <is>
          <t>Onsite</t>
        </is>
      </c>
      <c r="H22" t="n">
        <v>44460</v>
      </c>
      <c r="I22" t="n">
        <v>51480</v>
      </c>
      <c r="J22" t="inlineStr">
        <is>
          <t>0-1</t>
        </is>
      </c>
      <c r="K22" t="inlineStr">
        <is>
          <t>Not specified</t>
        </is>
      </c>
      <c r="L22" t="inlineStr">
        <is>
          <t>Accounting software, Excel</t>
        </is>
      </c>
      <c r="M22" t="inlineStr">
        <is>
          <t>Invoice review/coding, payment processing, check runs, payable reconciliation, vendor comms</t>
        </is>
      </c>
      <c r="N22" t="inlineStr">
        <is>
          <t>No</t>
        </is>
      </c>
      <c r="O22" t="inlineStr">
        <is>
          <t>No</t>
        </is>
      </c>
      <c r="P22" t="inlineStr">
        <is>
          <t>Yes</t>
        </is>
      </c>
      <c r="Q22" t="inlineStr">
        <is>
          <t>Robert Half</t>
        </is>
      </c>
      <c r="R22" t="inlineStr">
        <is>
          <t>https://www.roberthalf.com/us/en/job/naples-fl/accounts-payable-clerk/01150-0013460026-usen</t>
        </is>
      </c>
    </row>
    <row r="23">
      <c r="A23" t="n">
        <v>22</v>
      </c>
      <c r="B23" t="inlineStr">
        <is>
          <t>Accounts Payable Clerk</t>
        </is>
      </c>
      <c r="C23" t="inlineStr">
        <is>
          <t>Robert Half (client confidential)</t>
        </is>
      </c>
      <c r="D23" t="inlineStr">
        <is>
          <t>Import/Export</t>
        </is>
      </c>
      <c r="F23" t="inlineStr">
        <is>
          <t>Covington, LA</t>
        </is>
      </c>
      <c r="G23" t="inlineStr">
        <is>
          <t>Onsite</t>
        </is>
      </c>
      <c r="H23" t="n">
        <v>33280</v>
      </c>
      <c r="I23" t="n">
        <v>37440</v>
      </c>
      <c r="J23" t="inlineStr">
        <is>
          <t>0-1</t>
        </is>
      </c>
      <c r="K23" t="inlineStr">
        <is>
          <t>Not specified</t>
        </is>
      </c>
      <c r="L23" t="inlineStr">
        <is>
          <t>Excel</t>
        </is>
      </c>
      <c r="M23" t="inlineStr">
        <is>
          <t>Invoice review/coding, check runs, vendor payment management, reconciliation</t>
        </is>
      </c>
      <c r="N23" t="inlineStr">
        <is>
          <t>No</t>
        </is>
      </c>
      <c r="O23" t="inlineStr">
        <is>
          <t>No</t>
        </is>
      </c>
      <c r="P23" t="inlineStr">
        <is>
          <t>Yes</t>
        </is>
      </c>
      <c r="Q23" t="inlineStr">
        <is>
          <t>Robert Half</t>
        </is>
      </c>
      <c r="R23" t="inlineStr">
        <is>
          <t>https://www.roberthalf.com/us/en/job/covington-la/accounts-payable-clerk/04640-0013454929-usen</t>
        </is>
      </c>
    </row>
    <row r="24">
      <c r="A24" t="n">
        <v>23</v>
      </c>
      <c r="B24" t="inlineStr">
        <is>
          <t>Accounts Payable Clerk</t>
        </is>
      </c>
      <c r="C24" t="inlineStr">
        <is>
          <t>Robert Half (client confidential)</t>
        </is>
      </c>
      <c r="D24" t="inlineStr">
        <is>
          <t>Manufacturing</t>
        </is>
      </c>
      <c r="F24" t="inlineStr">
        <is>
          <t>Carson City, NV</t>
        </is>
      </c>
      <c r="G24" t="inlineStr">
        <is>
          <t>Onsite</t>
        </is>
      </c>
      <c r="H24" t="n">
        <v>45760</v>
      </c>
      <c r="I24" t="n">
        <v>54080</v>
      </c>
      <c r="J24" t="inlineStr">
        <is>
          <t>0-1</t>
        </is>
      </c>
      <c r="K24" t="inlineStr">
        <is>
          <t>Not specified</t>
        </is>
      </c>
      <c r="L24" t="inlineStr">
        <is>
          <t>Accounting system (unspecified)</t>
        </is>
      </c>
      <c r="M24" t="inlineStr">
        <is>
          <t>AP transaction/journal entry, invoice processing, check runs, high-volume data entry</t>
        </is>
      </c>
      <c r="N24" t="inlineStr">
        <is>
          <t>No</t>
        </is>
      </c>
      <c r="O24" t="inlineStr">
        <is>
          <t>No</t>
        </is>
      </c>
      <c r="P24" t="inlineStr">
        <is>
          <t>No</t>
        </is>
      </c>
      <c r="Q24" t="inlineStr">
        <is>
          <t>Robert Half</t>
        </is>
      </c>
      <c r="R24" t="inlineStr">
        <is>
          <t>https://www.roberthalf.com/us/en/job/carson-city-nv/accounts-payable-clerk/03110-0013445268-usen</t>
        </is>
      </c>
    </row>
    <row r="25">
      <c r="A25" t="n">
        <v>24</v>
      </c>
      <c r="B25" t="inlineStr">
        <is>
          <t>Accounts Payable Clerk</t>
        </is>
      </c>
      <c r="C25" t="inlineStr">
        <is>
          <t>Robert Half (client confidential)</t>
        </is>
      </c>
      <c r="D25" t="inlineStr">
        <is>
          <t>Wholesale distribution</t>
        </is>
      </c>
      <c r="F25" t="inlineStr">
        <is>
          <t>Cleveland, OH</t>
        </is>
      </c>
      <c r="G25" t="inlineStr">
        <is>
          <t>Onsite</t>
        </is>
      </c>
      <c r="H25" t="n">
        <v>43472</v>
      </c>
      <c r="I25" t="n">
        <v>50336</v>
      </c>
      <c r="J25" t="inlineStr">
        <is>
          <t>0-1</t>
        </is>
      </c>
      <c r="K25" t="inlineStr">
        <is>
          <t>Not specified</t>
        </is>
      </c>
      <c r="L25" t="inlineStr">
        <is>
          <t>SAP</t>
        </is>
      </c>
      <c r="M25" t="inlineStr">
        <is>
          <t>Invoice/GL coding review, exception investigation, transaction monitoring</t>
        </is>
      </c>
      <c r="N25" t="inlineStr">
        <is>
          <t>No</t>
        </is>
      </c>
      <c r="O25" t="inlineStr">
        <is>
          <t>No</t>
        </is>
      </c>
      <c r="P25" t="inlineStr">
        <is>
          <t>No</t>
        </is>
      </c>
      <c r="Q25" t="inlineStr">
        <is>
          <t>Robert Half</t>
        </is>
      </c>
      <c r="R25" t="inlineStr">
        <is>
          <t>https://www.roberthalf.com/us/en/job/cleveland-oh/accounts-payable-clerk/03340-0013459238-usen</t>
        </is>
      </c>
    </row>
    <row r="26">
      <c r="A26" t="n">
        <v>25</v>
      </c>
      <c r="B26" t="inlineStr">
        <is>
          <t>Bookkeeper</t>
        </is>
      </c>
      <c r="C26" t="inlineStr">
        <is>
          <t>Robert Half (client confidential)</t>
        </is>
      </c>
      <c r="F26" t="inlineStr">
        <is>
          <t>Orlando, FL</t>
        </is>
      </c>
      <c r="G26" t="inlineStr">
        <is>
          <t>Contract-to-perm</t>
        </is>
      </c>
      <c r="H26" t="n">
        <v>37440</v>
      </c>
      <c r="I26" t="n">
        <v>43680</v>
      </c>
      <c r="J26" t="inlineStr">
        <is>
          <t>1</t>
        </is>
      </c>
      <c r="K26" t="inlineStr">
        <is>
          <t>Not specified</t>
        </is>
      </c>
      <c r="L26" t="inlineStr">
        <is>
          <t>QuickBooks, MS Office</t>
        </is>
      </c>
      <c r="M26" t="inlineStr">
        <is>
          <t>AP/AR management, bank reconciliation, payroll processing, invoice entry</t>
        </is>
      </c>
      <c r="N26" t="inlineStr">
        <is>
          <t>No</t>
        </is>
      </c>
      <c r="O26" t="inlineStr">
        <is>
          <t>No</t>
        </is>
      </c>
      <c r="P26" t="inlineStr">
        <is>
          <t>Yes</t>
        </is>
      </c>
      <c r="Q26" t="inlineStr">
        <is>
          <t>Robert Half</t>
        </is>
      </c>
      <c r="R26" t="inlineStr">
        <is>
          <t>https://www.roberthalf.com/us/en/job/orlando-fl/bookkeeper/01030-0013468226-usen</t>
        </is>
      </c>
    </row>
    <row r="27">
      <c r="A27" t="n">
        <v>26</v>
      </c>
      <c r="B27" t="inlineStr">
        <is>
          <t>Bookkeeper</t>
        </is>
      </c>
      <c r="C27" t="inlineStr">
        <is>
          <t>Robert Half (client confidential)</t>
        </is>
      </c>
      <c r="F27" t="inlineStr">
        <is>
          <t>Keene, NH</t>
        </is>
      </c>
      <c r="G27" t="inlineStr">
        <is>
          <t>Onsite</t>
        </is>
      </c>
      <c r="H27" t="n">
        <v>49920</v>
      </c>
      <c r="I27" t="n">
        <v>54080</v>
      </c>
      <c r="J27" t="inlineStr">
        <is>
          <t>0-1</t>
        </is>
      </c>
      <c r="K27" t="inlineStr">
        <is>
          <t>Not specified</t>
        </is>
      </c>
      <c r="L27" t="inlineStr">
        <is>
          <t>QuickBooks/cloud systems, spreadsheets</t>
        </is>
      </c>
      <c r="M27" t="inlineStr">
        <is>
          <t>Bank/account reconciliation, AP/AR, GL support, month-end activities</t>
        </is>
      </c>
      <c r="N27" t="inlineStr">
        <is>
          <t>No</t>
        </is>
      </c>
      <c r="O27" t="inlineStr">
        <is>
          <t>Yes</t>
        </is>
      </c>
      <c r="P27" t="inlineStr">
        <is>
          <t>Yes</t>
        </is>
      </c>
      <c r="Q27" t="inlineStr">
        <is>
          <t>Robert Half</t>
        </is>
      </c>
      <c r="R27" t="inlineStr">
        <is>
          <t>https://www.roberthalf.com/us/en/job/keene-nh/bookkeeper/02600-0013455233-usen</t>
        </is>
      </c>
    </row>
    <row r="28">
      <c r="A28" t="n">
        <v>27</v>
      </c>
      <c r="B28" t="inlineStr">
        <is>
          <t>Bookkeeper</t>
        </is>
      </c>
      <c r="C28" t="inlineStr">
        <is>
          <t>Robert Half (client confidential)</t>
        </is>
      </c>
      <c r="E28" t="inlineStr">
        <is>
          <t>Small team</t>
        </is>
      </c>
      <c r="F28" t="inlineStr">
        <is>
          <t>Coraopolis, PA</t>
        </is>
      </c>
      <c r="G28" t="inlineStr">
        <is>
          <t>Onsite (1 day/wk)</t>
        </is>
      </c>
      <c r="H28" t="n">
        <v>41600</v>
      </c>
      <c r="I28" t="n">
        <v>52000</v>
      </c>
      <c r="J28" t="inlineStr">
        <is>
          <t>0-1</t>
        </is>
      </c>
      <c r="K28" t="inlineStr">
        <is>
          <t>Not specified</t>
        </is>
      </c>
      <c r="L28" t="inlineStr">
        <is>
          <t>QuickBooks</t>
        </is>
      </c>
      <c r="M28" t="inlineStr">
        <is>
          <t>Monthly bank reconciliation, biweekly payroll, P&amp;L/balance sheet prep</t>
        </is>
      </c>
      <c r="N28" t="inlineStr">
        <is>
          <t>No</t>
        </is>
      </c>
      <c r="O28" t="inlineStr">
        <is>
          <t>Yes</t>
        </is>
      </c>
      <c r="P28" t="inlineStr">
        <is>
          <t>Yes</t>
        </is>
      </c>
      <c r="Q28" t="inlineStr">
        <is>
          <t>Robert Half</t>
        </is>
      </c>
      <c r="R28" t="inlineStr">
        <is>
          <t>https://www.roberthalf.com/us/en/job/coraopolis-pa/bookkeeper/03810-0013466070-usen</t>
        </is>
      </c>
    </row>
    <row r="29">
      <c r="A29" t="n">
        <v>28</v>
      </c>
      <c r="B29" t="inlineStr">
        <is>
          <t>Accounts Receivable Clerk</t>
        </is>
      </c>
      <c r="C29" t="inlineStr">
        <is>
          <t>Robert Half (client confidential)</t>
        </is>
      </c>
      <c r="F29" t="inlineStr">
        <is>
          <t>Perry, GA</t>
        </is>
      </c>
      <c r="G29" t="inlineStr">
        <is>
          <t>Onsite</t>
        </is>
      </c>
      <c r="H29" t="n">
        <v>41600</v>
      </c>
      <c r="I29" t="n">
        <v>43680</v>
      </c>
      <c r="J29" t="inlineStr">
        <is>
          <t>0-1</t>
        </is>
      </c>
      <c r="K29" t="inlineStr">
        <is>
          <t>Not specified</t>
        </is>
      </c>
      <c r="L29" t="inlineStr">
        <is>
          <t>Not specified</t>
        </is>
      </c>
      <c r="M29" t="inlineStr">
        <is>
          <t>Invoice processing, payment application, collections outreach, account reconciliation</t>
        </is>
      </c>
      <c r="N29" t="inlineStr">
        <is>
          <t>No</t>
        </is>
      </c>
      <c r="O29" t="inlineStr">
        <is>
          <t>No</t>
        </is>
      </c>
      <c r="P29" t="inlineStr">
        <is>
          <t>Yes</t>
        </is>
      </c>
      <c r="Q29" t="inlineStr">
        <is>
          <t>Robert Half</t>
        </is>
      </c>
      <c r="R29" t="inlineStr">
        <is>
          <t>https://www.roberthalf.com/us/en/job/perry-ga/accounts-receivable-clerk/00930-0013436781-usen</t>
        </is>
      </c>
    </row>
    <row r="30">
      <c r="A30" t="n">
        <v>29</v>
      </c>
      <c r="B30" t="inlineStr">
        <is>
          <t>Accounts Receivable Clerk</t>
        </is>
      </c>
      <c r="C30" t="inlineStr">
        <is>
          <t>Robert Half (client confidential)</t>
        </is>
      </c>
      <c r="E30" t="inlineStr">
        <is>
          <t>Large (staffing firm)</t>
        </is>
      </c>
      <c r="F30" t="inlineStr">
        <is>
          <t>Buffalo, NY</t>
        </is>
      </c>
      <c r="G30" t="inlineStr">
        <is>
          <t>Onsite</t>
        </is>
      </c>
      <c r="H30" t="n">
        <v>47840</v>
      </c>
      <c r="I30" t="n">
        <v>54080</v>
      </c>
      <c r="J30" t="inlineStr">
        <is>
          <t>1</t>
        </is>
      </c>
      <c r="K30" t="inlineStr">
        <is>
          <t>HS diploma; Associate's preferred</t>
        </is>
      </c>
      <c r="L30" t="inlineStr">
        <is>
          <t>Excel, ERP (SAP/Oracle/NetSuite/Sage/Dynamics)</t>
        </is>
      </c>
      <c r="M30" t="inlineStr">
        <is>
          <t>Payment processing, invoicing, collections, reconciliation, aging reports, month-end close</t>
        </is>
      </c>
      <c r="N30" t="inlineStr">
        <is>
          <t>No</t>
        </is>
      </c>
      <c r="O30" t="inlineStr">
        <is>
          <t>Yes</t>
        </is>
      </c>
      <c r="P30" t="inlineStr">
        <is>
          <t>Yes</t>
        </is>
      </c>
      <c r="Q30" t="inlineStr">
        <is>
          <t>Robert Half</t>
        </is>
      </c>
      <c r="R30" t="inlineStr">
        <is>
          <t>https://www.roberthalf.com/us/en/job/buffalo-ny/accounts-receivable-clerk/02920-9504361528-usen</t>
        </is>
      </c>
    </row>
    <row r="31">
      <c r="A31" t="n">
        <v>30</v>
      </c>
      <c r="B31" t="inlineStr">
        <is>
          <t>Accounts Receivable Clerk</t>
        </is>
      </c>
      <c r="C31" t="inlineStr">
        <is>
          <t>Robert Half (client confidential)</t>
        </is>
      </c>
      <c r="D31" t="inlineStr">
        <is>
          <t>Environmental/Waste management</t>
        </is>
      </c>
      <c r="F31" t="inlineStr">
        <is>
          <t>Odessa, TX</t>
        </is>
      </c>
      <c r="G31" t="inlineStr">
        <is>
          <t>Onsite</t>
        </is>
      </c>
      <c r="H31" t="n">
        <v>39520</v>
      </c>
      <c r="I31" t="n">
        <v>45760</v>
      </c>
      <c r="J31" t="inlineStr">
        <is>
          <t>0-1</t>
        </is>
      </c>
      <c r="K31" t="inlineStr">
        <is>
          <t>Not specified</t>
        </is>
      </c>
      <c r="L31" t="inlineStr">
        <is>
          <t>NetSuite, Open Invoice, Open Ticket</t>
        </is>
      </c>
      <c r="M31" t="inlineStr">
        <is>
          <t>AR cycle management, invoice creation, payment application, account balancing</t>
        </is>
      </c>
      <c r="N31" t="inlineStr">
        <is>
          <t>No</t>
        </is>
      </c>
      <c r="O31" t="inlineStr">
        <is>
          <t>No</t>
        </is>
      </c>
      <c r="P31" t="inlineStr">
        <is>
          <t>Yes</t>
        </is>
      </c>
      <c r="Q31" t="inlineStr">
        <is>
          <t>Robert Half</t>
        </is>
      </c>
      <c r="R31" t="inlineStr">
        <is>
          <t>https://www.roberthalf.com/us/en/job/odessa-tx/accounts-receivable-clerk/04190-0013471449-usen</t>
        </is>
      </c>
    </row>
    <row r="32">
      <c r="A32" t="n">
        <v>31</v>
      </c>
      <c r="B32" t="inlineStr">
        <is>
          <t>Accounts Receivable Clerk</t>
        </is>
      </c>
      <c r="C32" t="inlineStr">
        <is>
          <t>Robert Half (client confidential)</t>
        </is>
      </c>
      <c r="F32" t="inlineStr">
        <is>
          <t>Newport News, VA</t>
        </is>
      </c>
      <c r="G32" t="inlineStr">
        <is>
          <t>Onsite</t>
        </is>
      </c>
      <c r="H32" t="n">
        <v>37544</v>
      </c>
      <c r="I32" t="n">
        <v>43472</v>
      </c>
      <c r="J32" t="inlineStr">
        <is>
          <t>0-1</t>
        </is>
      </c>
      <c r="K32" t="inlineStr">
        <is>
          <t>Not specified</t>
        </is>
      </c>
      <c r="L32" t="inlineStr">
        <is>
          <t>Excel</t>
        </is>
      </c>
      <c r="M32" t="inlineStr">
        <is>
          <t>Customer payment posting/reconciliation, invoice retrieval, report generation, delinquent review</t>
        </is>
      </c>
      <c r="N32" t="inlineStr">
        <is>
          <t>No</t>
        </is>
      </c>
      <c r="O32" t="inlineStr">
        <is>
          <t>No</t>
        </is>
      </c>
      <c r="P32" t="inlineStr">
        <is>
          <t>Yes</t>
        </is>
      </c>
      <c r="Q32" t="inlineStr">
        <is>
          <t>Robert Half</t>
        </is>
      </c>
      <c r="R32" t="inlineStr">
        <is>
          <t>https://www.roberthalf.com/us/en/job/newport-news-va/accounts-receivable-clerk/04550-0013466137-usen</t>
        </is>
      </c>
    </row>
    <row r="33">
      <c r="A33" t="n">
        <v>32</v>
      </c>
      <c r="B33" t="inlineStr">
        <is>
          <t>Accounts Receivable Clerk</t>
        </is>
      </c>
      <c r="C33" t="inlineStr">
        <is>
          <t>Robert Half (client confidential)</t>
        </is>
      </c>
      <c r="D33" t="inlineStr">
        <is>
          <t>Construction</t>
        </is>
      </c>
      <c r="F33" t="inlineStr">
        <is>
          <t>San Marcos, CA</t>
        </is>
      </c>
      <c r="G33" t="inlineStr">
        <is>
          <t>Onsite</t>
        </is>
      </c>
      <c r="H33" t="n">
        <v>52000</v>
      </c>
      <c r="I33" t="n">
        <v>56160</v>
      </c>
      <c r="J33" t="inlineStr">
        <is>
          <t>1-3</t>
        </is>
      </c>
      <c r="K33" t="inlineStr">
        <is>
          <t>Not specified</t>
        </is>
      </c>
      <c r="L33" t="inlineStr">
        <is>
          <t>QuickBooks, Sage, Vista/Viewpoint, Excel</t>
        </is>
      </c>
      <c r="M33" t="inlineStr">
        <is>
          <t>Invoice prep, payment posting, account reconciliation, collections, month-end reporting</t>
        </is>
      </c>
      <c r="N33" t="inlineStr">
        <is>
          <t>No</t>
        </is>
      </c>
      <c r="O33" t="inlineStr">
        <is>
          <t>Yes</t>
        </is>
      </c>
      <c r="P33" t="inlineStr">
        <is>
          <t>Yes</t>
        </is>
      </c>
      <c r="Q33" t="inlineStr">
        <is>
          <t>Robert Half</t>
        </is>
      </c>
      <c r="R33" t="inlineStr">
        <is>
          <t>https://www.roberthalf.com/us/en/job/san-marcos-ca/accounts-receivable-clerk/00240-9504356470-usen</t>
        </is>
      </c>
    </row>
    <row r="34">
      <c r="A34" t="n">
        <v>33</v>
      </c>
      <c r="B34" t="inlineStr">
        <is>
          <t>Accounts Receivable Clerk</t>
        </is>
      </c>
      <c r="C34" t="inlineStr">
        <is>
          <t>Robert Half (client confidential)</t>
        </is>
      </c>
      <c r="E34" t="inlineStr">
        <is>
          <t>Large (staffing firm)</t>
        </is>
      </c>
      <c r="F34" t="inlineStr">
        <is>
          <t>Pasadena, CA</t>
        </is>
      </c>
      <c r="G34" t="inlineStr">
        <is>
          <t>Temp/Contract</t>
        </is>
      </c>
      <c r="H34" t="n">
        <v>41600</v>
      </c>
      <c r="I34" t="n">
        <v>45760</v>
      </c>
      <c r="J34" t="inlineStr">
        <is>
          <t>1</t>
        </is>
      </c>
      <c r="K34" t="inlineStr">
        <is>
          <t>Not specified</t>
        </is>
      </c>
      <c r="L34" t="inlineStr">
        <is>
          <t>Excel</t>
        </is>
      </c>
      <c r="M34" t="inlineStr">
        <is>
          <t>Invoice generation, billing dispute resolution, cash application, aging report analysis</t>
        </is>
      </c>
      <c r="N34" t="inlineStr">
        <is>
          <t>No</t>
        </is>
      </c>
      <c r="O34" t="inlineStr">
        <is>
          <t>No</t>
        </is>
      </c>
      <c r="P34" t="inlineStr">
        <is>
          <t>Yes</t>
        </is>
      </c>
      <c r="Q34" t="inlineStr">
        <is>
          <t>Robert Half</t>
        </is>
      </c>
      <c r="R34" t="inlineStr">
        <is>
          <t>https://www.roberthalf.com/us/en/job/pasadena-ca/accounts-receivable-clerk/00490-9504298267-usen</t>
        </is>
      </c>
    </row>
    <row r="35">
      <c r="A35" t="n">
        <v>34</v>
      </c>
      <c r="B35" t="inlineStr">
        <is>
          <t>Bookkeeper</t>
        </is>
      </c>
      <c r="C35" t="inlineStr">
        <is>
          <t>Robert Half (client confidential)</t>
        </is>
      </c>
      <c r="F35" t="inlineStr">
        <is>
          <t>Trenton, NJ</t>
        </is>
      </c>
      <c r="G35" t="inlineStr">
        <is>
          <t>Onsite</t>
        </is>
      </c>
      <c r="H35" t="n">
        <v>52000</v>
      </c>
      <c r="I35" t="n">
        <v>62400</v>
      </c>
      <c r="J35" t="inlineStr">
        <is>
          <t>0-1</t>
        </is>
      </c>
      <c r="K35" t="inlineStr">
        <is>
          <t>Not specified</t>
        </is>
      </c>
      <c r="L35" t="inlineStr">
        <is>
          <t>Excel, accounting software (unspecified)</t>
        </is>
      </c>
      <c r="M35" t="inlineStr">
        <is>
          <t>Journal entries, GL maintenance, bank/credit card reconciliation, AP/AR, month-end close</t>
        </is>
      </c>
      <c r="N35" t="inlineStr">
        <is>
          <t>No</t>
        </is>
      </c>
      <c r="O35" t="inlineStr">
        <is>
          <t>Yes</t>
        </is>
      </c>
      <c r="P35" t="inlineStr">
        <is>
          <t>Yes</t>
        </is>
      </c>
      <c r="Q35" t="inlineStr">
        <is>
          <t>Robert Half</t>
        </is>
      </c>
      <c r="R35" t="inlineStr">
        <is>
          <t>https://www.roberthalf.com/us/en/job/trenton-nj/bookkeeper/02760-0013468704-usen</t>
        </is>
      </c>
    </row>
    <row r="36">
      <c r="A36" t="n">
        <v>35</v>
      </c>
      <c r="B36" t="inlineStr">
        <is>
          <t>Bookkeeper</t>
        </is>
      </c>
      <c r="C36" t="inlineStr">
        <is>
          <t>Robert Half (client confidential)</t>
        </is>
      </c>
      <c r="D36" t="inlineStr">
        <is>
          <t>Multi-location retail-type ops</t>
        </is>
      </c>
      <c r="F36" t="inlineStr">
        <is>
          <t>Little Rock, AR</t>
        </is>
      </c>
      <c r="G36" t="inlineStr">
        <is>
          <t>Onsite</t>
        </is>
      </c>
      <c r="H36" t="n">
        <v>45448</v>
      </c>
      <c r="I36" t="n">
        <v>52624</v>
      </c>
      <c r="J36" t="inlineStr">
        <is>
          <t>0-1</t>
        </is>
      </c>
      <c r="K36" t="inlineStr">
        <is>
          <t>Not specified</t>
        </is>
      </c>
      <c r="L36" t="inlineStr">
        <is>
          <t>Standard accounting/spreadsheet tools</t>
        </is>
      </c>
      <c r="M36" t="inlineStr">
        <is>
          <t>Cash management, deposit oversight, cash posting, bank deposits and reconciliation</t>
        </is>
      </c>
      <c r="N36" t="inlineStr">
        <is>
          <t>No</t>
        </is>
      </c>
      <c r="O36" t="inlineStr">
        <is>
          <t>No</t>
        </is>
      </c>
      <c r="P36" t="inlineStr">
        <is>
          <t>Yes</t>
        </is>
      </c>
      <c r="Q36" t="inlineStr">
        <is>
          <t>Robert Half</t>
        </is>
      </c>
      <c r="R36" t="inlineStr">
        <is>
          <t>https://www.roberthalf.com/us/en/job/little-rock-ar/bookkeeper/03000-0013469121-usen</t>
        </is>
      </c>
    </row>
    <row r="37">
      <c r="A37" t="n">
        <v>36</v>
      </c>
      <c r="B37" t="inlineStr">
        <is>
          <t>Accounts Payable Clerk</t>
        </is>
      </c>
      <c r="C37" t="inlineStr">
        <is>
          <t>Robert Half (client confidential)</t>
        </is>
      </c>
      <c r="F37" t="inlineStr">
        <is>
          <t>Greensboro/Winston-Salem, NC</t>
        </is>
      </c>
      <c r="G37" t="inlineStr">
        <is>
          <t>Onsite</t>
        </is>
      </c>
      <c r="H37" t="n">
        <v>45760</v>
      </c>
      <c r="I37" t="n">
        <v>49920</v>
      </c>
      <c r="J37" t="inlineStr">
        <is>
          <t>0-1</t>
        </is>
      </c>
      <c r="K37" t="inlineStr">
        <is>
          <t>Not specified</t>
        </is>
      </c>
      <c r="L37" t="inlineStr">
        <is>
          <t>Accounting systems, standard office software</t>
        </is>
      </c>
      <c r="M37" t="inlineStr">
        <is>
          <t>Invoice processing, accounting code assignment, check runs, PO/receipt reconciliation</t>
        </is>
      </c>
      <c r="N37" t="inlineStr">
        <is>
          <t>No</t>
        </is>
      </c>
      <c r="O37" t="inlineStr">
        <is>
          <t>No</t>
        </is>
      </c>
      <c r="P37" t="inlineStr">
        <is>
          <t>Yes</t>
        </is>
      </c>
      <c r="Q37" t="inlineStr">
        <is>
          <t>Robert Half</t>
        </is>
      </c>
      <c r="R37" t="inlineStr">
        <is>
          <t>https://www.roberthalf.com/us/en/job/greensboro-nc/accounts-payable-clerk/03210-0013463654-usen</t>
        </is>
      </c>
    </row>
    <row r="38">
      <c r="A38" t="n">
        <v>37</v>
      </c>
      <c r="B38" t="inlineStr">
        <is>
          <t>Accounts Receivable Clerk</t>
        </is>
      </c>
      <c r="C38" t="inlineStr">
        <is>
          <t>Robert Half (client confidential)</t>
        </is>
      </c>
      <c r="F38" t="inlineStr">
        <is>
          <t>Indianapolis, IN</t>
        </is>
      </c>
      <c r="G38" t="inlineStr">
        <is>
          <t>Onsite</t>
        </is>
      </c>
      <c r="H38" t="n">
        <v>45760</v>
      </c>
      <c r="I38" t="n">
        <v>56160</v>
      </c>
      <c r="J38" t="inlineStr">
        <is>
          <t>0-1</t>
        </is>
      </c>
      <c r="K38" t="inlineStr">
        <is>
          <t>Not specified</t>
        </is>
      </c>
      <c r="L38" t="inlineStr">
        <is>
          <t>Salesforce</t>
        </is>
      </c>
      <c r="M38" t="inlineStr">
        <is>
          <t>Invoice creation, contract record maintenance, balance monitoring, collections/dunning</t>
        </is>
      </c>
      <c r="N38" t="inlineStr">
        <is>
          <t>No</t>
        </is>
      </c>
      <c r="O38" t="inlineStr">
        <is>
          <t>No</t>
        </is>
      </c>
      <c r="P38" t="inlineStr">
        <is>
          <t>No</t>
        </is>
      </c>
      <c r="Q38" t="inlineStr">
        <is>
          <t>Robert Half</t>
        </is>
      </c>
      <c r="R38" t="inlineStr">
        <is>
          <t>https://www.roberthalf.com/us/en/job/indianapolis-in/accounts-receivable-clerk/01400-0013468304-usen</t>
        </is>
      </c>
    </row>
    <row r="39">
      <c r="A39" t="n">
        <v>38</v>
      </c>
      <c r="B39" t="inlineStr">
        <is>
          <t>Accounts Payable Clerk</t>
        </is>
      </c>
      <c r="C39" t="inlineStr">
        <is>
          <t>Robert Half (client confidential)</t>
        </is>
      </c>
      <c r="F39" t="inlineStr">
        <is>
          <t>Irvine/Lake Forest, CA</t>
        </is>
      </c>
      <c r="G39" t="inlineStr">
        <is>
          <t>Onsite</t>
        </is>
      </c>
      <c r="H39" t="n">
        <v>49400</v>
      </c>
      <c r="I39" t="n">
        <v>56160</v>
      </c>
      <c r="J39" t="inlineStr">
        <is>
          <t>0-1</t>
        </is>
      </c>
      <c r="K39" t="inlineStr">
        <is>
          <t>Not specified</t>
        </is>
      </c>
      <c r="L39" t="inlineStr">
        <is>
          <t>Accounting software (unspecified)</t>
        </is>
      </c>
      <c r="M39" t="inlineStr">
        <is>
          <t>Invoice review/coding, transaction entry, check runs, PO/receipt reconciliation</t>
        </is>
      </c>
      <c r="N39" t="inlineStr">
        <is>
          <t>No</t>
        </is>
      </c>
      <c r="O39" t="inlineStr">
        <is>
          <t>No</t>
        </is>
      </c>
      <c r="P39" t="inlineStr">
        <is>
          <t>Yes</t>
        </is>
      </c>
      <c r="Q39" t="inlineStr">
        <is>
          <t>Robert Half</t>
        </is>
      </c>
      <c r="R39" t="inlineStr">
        <is>
          <t>https://www.roberthalf.com/us/en/job/irvine-ca/accounts-payable-clerk/00760-0013469577-usen</t>
        </is>
      </c>
    </row>
    <row r="40">
      <c r="A40" t="n">
        <v>39</v>
      </c>
      <c r="B40" t="inlineStr">
        <is>
          <t>Accounts Payable Clerk</t>
        </is>
      </c>
      <c r="C40" t="inlineStr">
        <is>
          <t>Robert Half (client confidential)</t>
        </is>
      </c>
      <c r="D40" t="inlineStr">
        <is>
          <t>Construction</t>
        </is>
      </c>
      <c r="F40" t="inlineStr">
        <is>
          <t>San Ramon, CA</t>
        </is>
      </c>
      <c r="G40" t="inlineStr">
        <is>
          <t>Onsite</t>
        </is>
      </c>
      <c r="H40" t="n">
        <v>47840</v>
      </c>
      <c r="I40" t="n">
        <v>65520</v>
      </c>
      <c r="J40" t="inlineStr">
        <is>
          <t>0-1</t>
        </is>
      </c>
      <c r="K40" t="inlineStr">
        <is>
          <t>Not specified</t>
        </is>
      </c>
      <c r="L40" t="inlineStr">
        <is>
          <t>Metaviewer, Oracle JD Edwards EnterpriseOne</t>
        </is>
      </c>
      <c r="M40" t="inlineStr">
        <is>
          <t>High-volume AP processing, invoice coding, check requests, vendor statement reconciliation</t>
        </is>
      </c>
      <c r="N40" t="inlineStr">
        <is>
          <t>No</t>
        </is>
      </c>
      <c r="O40" t="inlineStr">
        <is>
          <t>Yes</t>
        </is>
      </c>
      <c r="P40" t="inlineStr">
        <is>
          <t>Yes</t>
        </is>
      </c>
      <c r="Q40" t="inlineStr">
        <is>
          <t>Robert Half</t>
        </is>
      </c>
      <c r="R40" t="inlineStr">
        <is>
          <t>https://www.roberthalf.com/us/en/job/san-ramon-ca/accounts-payable-clerk/04692-0013469958-usen</t>
        </is>
      </c>
    </row>
    <row r="41">
      <c r="A41" t="n">
        <v>40</v>
      </c>
      <c r="B41" t="inlineStr">
        <is>
          <t>Accounts Receivable Clerk</t>
        </is>
      </c>
      <c r="C41" t="inlineStr">
        <is>
          <t>Robert Half (client confidential)</t>
        </is>
      </c>
      <c r="F41" t="inlineStr">
        <is>
          <t>Pleasanton, CA</t>
        </is>
      </c>
      <c r="G41" t="inlineStr">
        <is>
          <t>Onsite</t>
        </is>
      </c>
      <c r="H41" t="n">
        <v>52000</v>
      </c>
      <c r="I41" t="n">
        <v>65520</v>
      </c>
      <c r="J41" t="inlineStr">
        <is>
          <t>0-1</t>
        </is>
      </c>
      <c r="K41" t="inlineStr">
        <is>
          <t>Not specified</t>
        </is>
      </c>
      <c r="L41" t="inlineStr">
        <is>
          <t>Excel (pivot tables), billing platforms</t>
        </is>
      </c>
      <c r="M41" t="inlineStr">
        <is>
          <t>Invoicing, payment tracking, account reconciliation, cash application, collections</t>
        </is>
      </c>
      <c r="N41" t="inlineStr">
        <is>
          <t>No</t>
        </is>
      </c>
      <c r="O41" t="inlineStr">
        <is>
          <t>No</t>
        </is>
      </c>
      <c r="P41" t="inlineStr">
        <is>
          <t>Yes</t>
        </is>
      </c>
      <c r="Q41" t="inlineStr">
        <is>
          <t>Robert Half</t>
        </is>
      </c>
      <c r="R41" t="inlineStr">
        <is>
          <t>https://www.roberthalf.com/us/en/job/pleasanton-ca/accounts-receivable-clerk/04692-0013462981-usen</t>
        </is>
      </c>
    </row>
    <row r="42">
      <c r="A42" t="n">
        <v>41</v>
      </c>
      <c r="B42" t="inlineStr">
        <is>
          <t>Accounts Receivable Clerk</t>
        </is>
      </c>
      <c r="C42" t="inlineStr">
        <is>
          <t>Robert Half (client confidential)</t>
        </is>
      </c>
      <c r="F42" t="inlineStr">
        <is>
          <t>Portland/Tigard, OR</t>
        </is>
      </c>
      <c r="G42" t="inlineStr">
        <is>
          <t>Onsite</t>
        </is>
      </c>
      <c r="H42" t="n">
        <v>49920</v>
      </c>
      <c r="I42" t="n">
        <v>54080</v>
      </c>
      <c r="J42" t="inlineStr">
        <is>
          <t>0-1</t>
        </is>
      </c>
      <c r="K42" t="inlineStr">
        <is>
          <t>Not specified</t>
        </is>
      </c>
      <c r="L42" t="inlineStr">
        <is>
          <t>SAP</t>
        </is>
      </c>
      <c r="M42" t="inlineStr">
        <is>
          <t>Invoice processing, cash application, aging report monitoring, account reconciliation</t>
        </is>
      </c>
      <c r="N42" t="inlineStr">
        <is>
          <t>No</t>
        </is>
      </c>
      <c r="O42" t="inlineStr">
        <is>
          <t>No</t>
        </is>
      </c>
      <c r="P42" t="inlineStr">
        <is>
          <t>Yes</t>
        </is>
      </c>
      <c r="Q42" t="inlineStr">
        <is>
          <t>Robert Half</t>
        </is>
      </c>
      <c r="R42" t="inlineStr">
        <is>
          <t>https://www.roberthalf.com/us/en/job/portland-or/accounts-receivable-clerk/03620-0013469183-usen</t>
        </is>
      </c>
    </row>
    <row r="43">
      <c r="A43" t="n">
        <v>42</v>
      </c>
      <c r="B43" t="inlineStr">
        <is>
          <t>Entry Level Staff Accountant (0-1 Years' Experience)</t>
        </is>
      </c>
      <c r="C43" t="inlineStr">
        <is>
          <t>The Bonadio Group</t>
        </is>
      </c>
      <c r="D43" t="inlineStr">
        <is>
          <t>Public accounting/CPA firm</t>
        </is>
      </c>
      <c r="F43" t="inlineStr">
        <is>
          <t>Rochester, NY</t>
        </is>
      </c>
      <c r="G43" t="inlineStr">
        <is>
          <t>Onsite</t>
        </is>
      </c>
      <c r="H43" t="n">
        <v>60500</v>
      </c>
      <c r="I43" t="n">
        <v>60500</v>
      </c>
      <c r="J43" t="inlineStr">
        <is>
          <t>0-1</t>
        </is>
      </c>
      <c r="K43" t="inlineStr">
        <is>
          <t>Bachelor's in Accounting, 150 credit hrs, CPA-eligible</t>
        </is>
      </c>
      <c r="L43" t="inlineStr">
        <is>
          <t>Not specified</t>
        </is>
      </c>
      <c r="M43" t="inlineStr">
        <is>
          <t>Financial statement/tax return preparation, assurance assignments, use of firm technology tools</t>
        </is>
      </c>
      <c r="N43" t="inlineStr">
        <is>
          <t>Yes</t>
        </is>
      </c>
      <c r="O43" t="inlineStr">
        <is>
          <t>Not specified</t>
        </is>
      </c>
      <c r="P43" t="inlineStr">
        <is>
          <t>Not specified</t>
        </is>
      </c>
      <c r="Q43" t="inlineStr">
        <is>
          <t>Company career site (Workday)</t>
        </is>
      </c>
      <c r="R43" t="inlineStr">
        <is>
          <t>https://bonadio.wd5.myworkdayjobs.com/en-US/Bonadio_Careers/job/Entry-Level-Staff-Accountant--0-1-Years--Experience-_20240104</t>
        </is>
      </c>
    </row>
    <row r="44">
      <c r="A44" t="n">
        <v>43</v>
      </c>
      <c r="B44" t="inlineStr">
        <is>
          <t>Entry Level Accounts Payable/Receivable Clerk</t>
        </is>
      </c>
      <c r="C44" t="inlineStr">
        <is>
          <t>ProSidian Consulting, LLC</t>
        </is>
      </c>
      <c r="D44" t="inlineStr">
        <is>
          <t>Management/operations consulting</t>
        </is>
      </c>
      <c r="F44" t="inlineStr">
        <is>
          <t>Charlotte, NC</t>
        </is>
      </c>
      <c r="G44" t="inlineStr">
        <is>
          <t>Onsite (contract, W-2 conv. possible)</t>
        </is>
      </c>
      <c r="J44" t="inlineStr">
        <is>
          <t>1-2</t>
        </is>
      </c>
      <c r="K44" t="inlineStr">
        <is>
          <t>HS diploma/GED; accounting coursework preferred</t>
        </is>
      </c>
      <c r="L44" t="inlineStr">
        <is>
          <t>Excel, MS Office (Access, Outlook, PowerPoint, Word), Adobe Acrobat, Visio</t>
        </is>
      </c>
      <c r="M44" t="inlineStr">
        <is>
          <t>Invoice prep/review, billing records, discrepancy resolution, account reconciliation assist</t>
        </is>
      </c>
      <c r="N44" t="inlineStr">
        <is>
          <t>No</t>
        </is>
      </c>
      <c r="O44" t="inlineStr">
        <is>
          <t>No</t>
        </is>
      </c>
      <c r="P44" t="inlineStr">
        <is>
          <t>Yes</t>
        </is>
      </c>
      <c r="Q44" t="inlineStr">
        <is>
          <t>SmartRecruiters</t>
        </is>
      </c>
      <c r="R44" t="inlineStr">
        <is>
          <t>https://jobs.smartrecruiters.com/prosidianconsulting/744000081999646-entry-level-accounts-payable-receivable-clerk-accounts-payable-receivable-clerk-coc0032031-</t>
        </is>
      </c>
    </row>
    <row r="45">
      <c r="A45" t="n">
        <v>44</v>
      </c>
      <c r="B45" t="inlineStr">
        <is>
          <t>Staff Accountant</t>
        </is>
      </c>
      <c r="C45" t="inlineStr">
        <is>
          <t>Randstad (client confidential)</t>
        </is>
      </c>
      <c r="D45" t="inlineStr">
        <is>
          <t>Entertainment</t>
        </is>
      </c>
      <c r="F45" t="inlineStr">
        <is>
          <t>West Los Angeles, CA</t>
        </is>
      </c>
      <c r="G45" t="inlineStr">
        <is>
          <t>Not specified</t>
        </is>
      </c>
      <c r="H45" t="n">
        <v>50000</v>
      </c>
      <c r="I45" t="n">
        <v>70000</v>
      </c>
      <c r="J45" t="inlineStr">
        <is>
          <t>0-1</t>
        </is>
      </c>
      <c r="K45" t="inlineStr">
        <is>
          <t>Not specified</t>
        </is>
      </c>
      <c r="L45" t="inlineStr">
        <is>
          <t>Not specified</t>
        </is>
      </c>
      <c r="M45" t="inlineStr">
        <is>
          <t>Data entry, journal entry drafting, account analysis, AP/AR/GL, credit card reconciliation</t>
        </is>
      </c>
      <c r="N45" t="inlineStr">
        <is>
          <t>No</t>
        </is>
      </c>
      <c r="O45" t="inlineStr">
        <is>
          <t>No</t>
        </is>
      </c>
      <c r="P45" t="inlineStr">
        <is>
          <t>Yes</t>
        </is>
      </c>
      <c r="Q45" t="inlineStr">
        <is>
          <t>SmartRecruiters</t>
        </is>
      </c>
      <c r="R45" t="inlineStr">
        <is>
          <t>https://jobs.smartrecruiters.com/Randstad4/88609056-staff-accountant</t>
        </is>
      </c>
    </row>
    <row r="46">
      <c r="A46" t="n">
        <v>45</v>
      </c>
    </row>
    <row r="47">
      <c r="A47" t="n">
        <v>46</v>
      </c>
    </row>
    <row r="48">
      <c r="A48" t="n">
        <v>47</v>
      </c>
    </row>
    <row r="49">
      <c r="A49" t="n">
        <v>48</v>
      </c>
    </row>
    <row r="50">
      <c r="A50" t="n">
        <v>49</v>
      </c>
    </row>
    <row r="51">
      <c r="A51" t="n">
        <v>50</v>
      </c>
    </row>
  </sheetData>
  <dataValidations count="5">
    <dataValidation sqref="N2:N51 O2:O51 P2:P51" showDropDown="0" showInputMessage="0" showErrorMessage="0" allowBlank="1" type="list">
      <formula1>"Yes,No"</formula1>
    </dataValidation>
    <dataValidation sqref="G2:G51" showDropDown="0" showInputMessage="0" showErrorMessage="0" allowBlank="1" type="list">
      <formula1>"Remote,Hybrid,Onsite"</formula1>
    </dataValidation>
    <dataValidation sqref="K2:K51" showDropDown="0" showInputMessage="0" showErrorMessage="0" allowBlank="1" type="list">
      <formula1>"None specified,HS Diploma,Associate,Bachelor,Master"</formula1>
    </dataValidation>
    <dataValidation sqref="J2:J51" showDropDown="0" showInputMessage="0" showErrorMessage="0" allowBlank="1" type="list">
      <formula1>"0,0-1,1-2,2+"</formula1>
    </dataValidation>
    <dataValidation sqref="Q2:Q51" showDropDown="0" showInputMessage="0" showErrorMessage="0" allowBlank="1" type="list">
      <formula1>"Indeed,LinkedIn,ZipRecruiter,Glassdoor,Robert Half,Randstad,Other"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60" customWidth="1" min="3" max="3"/>
  </cols>
  <sheetData>
    <row r="1">
      <c r="A1" s="1" t="inlineStr">
        <is>
          <t>Job Postings Analysis — Summary (auto-calculated once Postings sheet is filled)</t>
        </is>
      </c>
    </row>
    <row r="3">
      <c r="A3" t="inlineStr">
        <is>
          <t>Postings collected</t>
        </is>
      </c>
      <c r="B3">
        <f>COUNTA(Postings!B2:B51)</f>
        <v/>
      </c>
    </row>
    <row r="4">
      <c r="A4" t="inlineStr">
        <is>
          <t>Average salary min</t>
        </is>
      </c>
      <c r="B4">
        <f>IFERROR(ROUND(AVERAGE(Postings!H2:H51),0),"—")</f>
        <v/>
      </c>
    </row>
    <row r="5">
      <c r="A5" t="inlineStr">
        <is>
          <t>Average salary max</t>
        </is>
      </c>
      <c r="B5">
        <f>IFERROR(ROUND(AVERAGE(Postings!I2:I51),0),"—")</f>
        <v/>
      </c>
    </row>
    <row r="6">
      <c r="A6" t="inlineStr">
        <is>
          <t>% requiring 0 or 0-1 yrs experience</t>
        </is>
      </c>
      <c r="B6">
        <f>IFERROR(TEXT((COUNTIF(Postings!J2:J51,"0")+COUNTIF(Postings!J2:J51,"0-1"))/COUNTA(Postings!J2:J51),"0%"),"—")</f>
        <v/>
      </c>
    </row>
    <row r="7">
      <c r="A7" t="inlineStr">
        <is>
          <t>% mentioning CPA</t>
        </is>
      </c>
      <c r="B7">
        <f>IFERROR(TEXT(COUNTIF(Postings!N2:N51,"Yes")/COUNTA(Postings!N2:N51),"0%"),"—")</f>
        <v/>
      </c>
    </row>
    <row r="8">
      <c r="A8" t="inlineStr">
        <is>
          <t>% mentioning month-end close</t>
        </is>
      </c>
      <c r="B8">
        <f>IFERROR(TEXT(COUNTIF(Postings!O2:O51,"Yes")/COUNTA(Postings!O2:O51),"0%"),"—")</f>
        <v/>
      </c>
    </row>
    <row r="9">
      <c r="A9" t="inlineStr">
        <is>
          <t>% mentioning reconciliation</t>
        </is>
      </c>
      <c r="B9">
        <f>IFERROR(TEXT(COUNTIF(Postings!P2:P51,"Yes")/COUNTA(Postings!P2:P51),"0%"),"—")</f>
        <v/>
      </c>
    </row>
    <row r="11">
      <c r="A11" s="3" t="inlineStr">
        <is>
          <t>Top job titles (count)</t>
        </is>
      </c>
    </row>
    <row r="12">
      <c r="A12" t="inlineStr">
        <is>
          <t>Staff Accountant</t>
        </is>
      </c>
      <c r="B12">
        <f>COUNTIF(Postings!B2:B51,"*"&amp;A12&amp;"*")</f>
        <v/>
      </c>
    </row>
    <row r="13">
      <c r="A13" t="inlineStr">
        <is>
          <t>Accounts Payable Clerk</t>
        </is>
      </c>
      <c r="B13">
        <f>COUNTIF(Postings!B2:B51,"*"&amp;A13&amp;"*")</f>
        <v/>
      </c>
    </row>
    <row r="14">
      <c r="A14" t="inlineStr">
        <is>
          <t>Accounts Receivable Clerk</t>
        </is>
      </c>
      <c r="B14">
        <f>COUNTIF(Postings!B2:B51,"*"&amp;A14&amp;"*")</f>
        <v/>
      </c>
    </row>
    <row r="15">
      <c r="A15" t="inlineStr">
        <is>
          <t>Junior Accountant</t>
        </is>
      </c>
      <c r="B15">
        <f>COUNTIF(Postings!B2:B51,"*"&amp;A15&amp;"*")</f>
        <v/>
      </c>
    </row>
    <row r="16">
      <c r="A16" t="inlineStr">
        <is>
          <t>Financial Analyst</t>
        </is>
      </c>
      <c r="B16">
        <f>COUNTIF(Postings!B2:B51,"*"&amp;A16&amp;"*")</f>
        <v/>
      </c>
    </row>
    <row r="17">
      <c r="A17" t="inlineStr">
        <is>
          <t>Bookkeeper</t>
        </is>
      </c>
      <c r="B17">
        <f>COUNTIF(Postings!B2:B51,"*"&amp;A17&amp;"*")</f>
        <v/>
      </c>
    </row>
    <row r="18">
      <c r="A18" t="inlineStr">
        <is>
          <t>Accounting Clerk</t>
        </is>
      </c>
      <c r="B18">
        <f>COUNTIF(Postings!B2:B51,"*"&amp;A18&amp;"*")</f>
        <v/>
      </c>
    </row>
    <row r="19">
      <c r="A19" t="inlineStr">
        <is>
          <t>Accounting Assistant</t>
        </is>
      </c>
      <c r="B19">
        <f>COUNTIF(Postings!B2:B51,"*"&amp;A19&amp;"*")</f>
        <v/>
      </c>
    </row>
    <row r="21">
      <c r="A21" s="3" t="inlineStr">
        <is>
          <t>Software frequency (count of postings naming it)</t>
        </is>
      </c>
    </row>
    <row r="22">
      <c r="A22" t="inlineStr">
        <is>
          <t>Excel</t>
        </is>
      </c>
      <c r="B22">
        <f>COUNTIF(Postings!L2:L51,"*"&amp;A22&amp;"*")</f>
        <v/>
      </c>
    </row>
    <row r="23">
      <c r="A23" t="inlineStr">
        <is>
          <t>QuickBooks</t>
        </is>
      </c>
      <c r="B23">
        <f>COUNTIF(Postings!L2:L51,"*"&amp;A23&amp;"*")</f>
        <v/>
      </c>
    </row>
    <row r="24">
      <c r="A24" t="inlineStr">
        <is>
          <t>NetSuite</t>
        </is>
      </c>
      <c r="B24">
        <f>COUNTIF(Postings!L2:L51,"*"&amp;A24&amp;"*")</f>
        <v/>
      </c>
    </row>
    <row r="25">
      <c r="A25" t="inlineStr">
        <is>
          <t>SAP</t>
        </is>
      </c>
      <c r="B25">
        <f>COUNTIF(Postings!L2:L51,"*"&amp;A25&amp;"*")</f>
        <v/>
      </c>
    </row>
    <row r="26">
      <c r="A26" t="inlineStr">
        <is>
          <t>Oracle</t>
        </is>
      </c>
      <c r="B26">
        <f>COUNTIF(Postings!L2:L51,"*"&amp;A26&amp;"*")</f>
        <v/>
      </c>
    </row>
    <row r="27">
      <c r="A27" t="inlineStr">
        <is>
          <t>Sage</t>
        </is>
      </c>
      <c r="B27">
        <f>COUNTIF(Postings!L2:L51,"*"&amp;A27&amp;"*")</f>
        <v/>
      </c>
    </row>
    <row r="28">
      <c r="A28" t="inlineStr">
        <is>
          <t>Bill.com</t>
        </is>
      </c>
      <c r="B28">
        <f>COUNTIF(Postings!L2:L51,"*"&amp;A28&amp;"*")</f>
        <v/>
      </c>
    </row>
    <row r="29">
      <c r="A29" t="inlineStr">
        <is>
          <t>Concur</t>
        </is>
      </c>
      <c r="B29">
        <f>COUNTIF(Postings!L2:L51,"*"&amp;A29&amp;"*")</f>
        <v/>
      </c>
    </row>
    <row r="30">
      <c r="A30" t="inlineStr">
        <is>
          <t>ADP</t>
        </is>
      </c>
      <c r="B30">
        <f>COUNTIF(Postings!L2:L51,"*"&amp;A30&amp;"*")</f>
        <v/>
      </c>
    </row>
    <row r="31">
      <c r="A31" t="inlineStr">
        <is>
          <t>Workday</t>
        </is>
      </c>
      <c r="B31">
        <f>COUNTIF(Postings!L2:L51,"*"&amp;A31&amp;"*")</f>
        <v/>
      </c>
    </row>
    <row r="32">
      <c r="A32" t="inlineStr">
        <is>
          <t>Microsoft Dynamics</t>
        </is>
      </c>
      <c r="B32">
        <f>COUNTIF(Postings!L2:L51,"*"&amp;A32&amp;"*")</f>
        <v/>
      </c>
    </row>
    <row r="33">
      <c r="A33" t="inlineStr">
        <is>
          <t>Xero</t>
        </is>
      </c>
      <c r="B33">
        <f>COUNTIF(Postings!L2:L51,"*"&amp;A33&amp;"*")</f>
        <v/>
      </c>
    </row>
    <row r="36">
      <c r="A36" s="3" t="inlineStr">
        <is>
          <t>Skill frequency (count of postings naming it)</t>
        </is>
      </c>
    </row>
    <row r="37">
      <c r="A37" t="inlineStr">
        <is>
          <t>Month-end close</t>
        </is>
      </c>
      <c r="B37">
        <f>COUNTIF(Postings!M2:M51,"*"&amp;A37&amp;"*")+COUNTIF(Postings!L2:L51,"*"&amp;A37&amp;"*")</f>
        <v/>
      </c>
    </row>
    <row r="38">
      <c r="A38" t="inlineStr">
        <is>
          <t>Bank reconciliation</t>
        </is>
      </c>
      <c r="B38">
        <f>COUNTIF(Postings!M2:M51,"*"&amp;A38&amp;"*")+COUNTIF(Postings!L2:L51,"*"&amp;A38&amp;"*")</f>
        <v/>
      </c>
    </row>
    <row r="39">
      <c r="A39" t="inlineStr">
        <is>
          <t>Journal entries</t>
        </is>
      </c>
      <c r="B39">
        <f>COUNTIF(Postings!M2:M51,"*"&amp;A39&amp;"*")+COUNTIF(Postings!L2:L51,"*"&amp;A39&amp;"*")</f>
        <v/>
      </c>
    </row>
    <row r="40">
      <c r="A40" t="inlineStr">
        <is>
          <t>General ledger</t>
        </is>
      </c>
      <c r="B40">
        <f>COUNTIF(Postings!M2:M51,"*"&amp;A40&amp;"*")+COUNTIF(Postings!L2:L51,"*"&amp;A40&amp;"*")</f>
        <v/>
      </c>
    </row>
    <row r="41">
      <c r="A41" t="inlineStr">
        <is>
          <t>Accounts payable</t>
        </is>
      </c>
      <c r="B41">
        <f>COUNTIF(Postings!M2:M51,"*"&amp;A41&amp;"*")+COUNTIF(Postings!L2:L51,"*"&amp;A41&amp;"*")</f>
        <v/>
      </c>
    </row>
    <row r="42">
      <c r="A42" t="inlineStr">
        <is>
          <t>Accounts receivable</t>
        </is>
      </c>
      <c r="B42">
        <f>COUNTIF(Postings!M2:M51,"*"&amp;A42&amp;"*")+COUNTIF(Postings!L2:L51,"*"&amp;A42&amp;"*")</f>
        <v/>
      </c>
    </row>
    <row r="43">
      <c r="A43" t="inlineStr">
        <is>
          <t>Pivot tables</t>
        </is>
      </c>
      <c r="B43">
        <f>COUNTIF(Postings!M2:M51,"*"&amp;A43&amp;"*")+COUNTIF(Postings!L2:L51,"*"&amp;A43&amp;"*")</f>
        <v/>
      </c>
    </row>
    <row r="44">
      <c r="A44" t="inlineStr">
        <is>
          <t>VLOOKUP</t>
        </is>
      </c>
      <c r="B44">
        <f>COUNTIF(Postings!M2:M51,"*"&amp;A44&amp;"*")+COUNTIF(Postings!L2:L51,"*"&amp;A44&amp;"*")</f>
        <v/>
      </c>
    </row>
    <row r="45">
      <c r="A45" t="inlineStr">
        <is>
          <t>XLOOKUP</t>
        </is>
      </c>
      <c r="B45">
        <f>COUNTIF(Postings!M2:M51,"*"&amp;A45&amp;"*")+COUNTIF(Postings!L2:L51,"*"&amp;A45&amp;"*")</f>
        <v/>
      </c>
    </row>
    <row r="46">
      <c r="A46" t="inlineStr">
        <is>
          <t>Variance analysis</t>
        </is>
      </c>
      <c r="B46">
        <f>COUNTIF(Postings!M2:M51,"*"&amp;A46&amp;"*")+COUNTIF(Postings!L2:L51,"*"&amp;A46&amp;"*")</f>
        <v/>
      </c>
    </row>
    <row r="47">
      <c r="A47" t="inlineStr">
        <is>
          <t>Financial reporting</t>
        </is>
      </c>
      <c r="B47">
        <f>COUNTIF(Postings!M2:M51,"*"&amp;A47&amp;"*")+COUNTIF(Postings!L2:L51,"*"&amp;A47&amp;"*")</f>
        <v/>
      </c>
    </row>
    <row r="48">
      <c r="A48" t="inlineStr">
        <is>
          <t>Fixed assets</t>
        </is>
      </c>
      <c r="B48">
        <f>COUNTIF(Postings!M2:M51,"*"&amp;A48&amp;"*")+COUNTIF(Postings!L2:L51,"*"&amp;A48&amp;"*")</f>
        <v/>
      </c>
    </row>
    <row r="49">
      <c r="A49" t="inlineStr">
        <is>
          <t>1099</t>
        </is>
      </c>
      <c r="B49">
        <f>COUNTIF(Postings!M2:M51,"*"&amp;A49&amp;"*")+COUNTIF(Postings!L2:L51,"*"&amp;A49&amp;"*")</f>
        <v/>
      </c>
    </row>
    <row r="50">
      <c r="A50" t="inlineStr">
        <is>
          <t>Sales tax</t>
        </is>
      </c>
      <c r="B50">
        <f>COUNTIF(Postings!M2:M51,"*"&amp;A50&amp;"*")+COUNTIF(Postings!L2:L51,"*"&amp;A50&amp;"*")</f>
        <v/>
      </c>
    </row>
    <row r="51">
      <c r="A51" t="inlineStr">
        <is>
          <t>Data entry</t>
        </is>
      </c>
      <c r="B51">
        <f>COUNTIF(Postings!M2:M51,"*"&amp;A51&amp;"*")+COUNTIF(Postings!L2:L51,"*"&amp;A51&amp;"*")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2026-07-15T18:51:45Z</dcterms:created>
  <dcterms:modified xmlns:dcterms="http://purl.org/dc/terms/" xmlns:xsi="http://www.w3.org/2001/XMLSchema-instance" xsi:type="dcterms:W3CDTF">2026-07-15T20:38:57Z</dcterms:modified>
</cp:coreProperties>
</file>